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4120" tabRatio="895" activeTab="5"/>
  </bookViews>
  <sheets>
    <sheet name="基本信息" sheetId="1" r:id="rId1"/>
    <sheet name="资产负债表" sheetId="2" r:id="rId2"/>
    <sheet name="利润表" sheetId="3" r:id="rId3"/>
    <sheet name="现金流量表" sheetId="4" r:id="rId4"/>
    <sheet name="补充资料表" sheetId="5" r:id="rId5"/>
    <sheet name="主要财务指标" sheetId="6" r:id="rId6"/>
    <sheet name="资产结构" sheetId="7" r:id="rId7"/>
    <sheet name="负债结构" sheetId="8" r:id="rId8"/>
    <sheet name="盈利能力" sheetId="9" r:id="rId9"/>
    <sheet name="现金流量" sheetId="10" r:id="rId10"/>
    <sheet name="偿债能力" sheetId="11" r:id="rId11"/>
    <sheet name="运营能力" sheetId="12" r:id="rId12"/>
  </sheets>
  <definedNames>
    <definedName name="_xlnm._FilterDatabase" localSheetId="5" hidden="1">主要财务指标!$A$2:$E$28</definedName>
    <definedName name="_xlnm._FilterDatabase" localSheetId="6" hidden="1">资产结构!$A$4:$I$41</definedName>
    <definedName name="_xlnm._FilterDatabase" localSheetId="7" hidden="1">负债结构!$A$4:$I$33</definedName>
    <definedName name="_xlnm._FilterDatabase" localSheetId="8" hidden="1">盈利能力!$A$3:$E$26</definedName>
    <definedName name="_xlnm._FilterDatabase" localSheetId="9" hidden="1">现金流量!$A$3:$E$17</definedName>
    <definedName name="_xlnm._FilterDatabase" localSheetId="10" hidden="1">偿债能力!$A$2:$E$6</definedName>
    <definedName name="_xlnm._FilterDatabase" localSheetId="11" hidden="1">运营能力!$A$2:$E$13</definedName>
    <definedName name="_xlnm.Print_Titles" localSheetId="5">主要财务指标!$1:$2</definedName>
    <definedName name="_xlnm.Print_Area" localSheetId="5">主要财务指标!$A$1:$E$47</definedName>
    <definedName name="_xlnm.Print_Area" localSheetId="6">资产结构!$A$1:$I$41</definedName>
    <definedName name="_xlnm.Print_Area" localSheetId="7">负债结构!$A$1:$I$33</definedName>
    <definedName name="_xlnm.Print_Area" localSheetId="8">盈利能力!$A$1:$E$26</definedName>
    <definedName name="_xlnm.Print_Area" localSheetId="9">现金流量!$A$1:$E$17</definedName>
    <definedName name="_xlnm.Print_Area" localSheetId="10">偿债能力!$A$1:$E$11</definedName>
    <definedName name="_xlnm.Print_Area" localSheetId="11">运营能力!$A$1:$E$19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Codex</author>
  </authors>
  <commentList>
    <comment ref="A9" authorId="0">
      <text>
        <r>
          <rPr>
            <sz val="10"/>
            <rFont val="宋体"/>
            <charset val="134"/>
          </rPr>
          <t>用于按证监会《公开发行证券的公司信息披露编报规则第9号》计算加权平均净资产收益率，单位为元。</t>
        </r>
      </text>
    </comment>
  </commentList>
</comments>
</file>

<file path=xl/comments2.xml><?xml version="1.0" encoding="utf-8"?>
<comments xmlns="http://schemas.openxmlformats.org/spreadsheetml/2006/main">
  <authors>
    <author>Codex</author>
  </authors>
  <commentList>
    <comment ref="A5" authorId="0">
      <text>
        <r>
          <rPr>
            <sz val="10"/>
            <rFont val="宋体"/>
            <charset val="134"/>
          </rPr>
          <t>全部债务按当前Word模板口径计算；资产负债表暂无“应付短期债券”时，该项按0处理，后续新增同名科目可自动纳入。</t>
        </r>
      </text>
    </comment>
    <comment ref="A21" authorId="0">
      <text>
        <r>
          <rPr>
            <sz val="10"/>
            <rFont val="宋体"/>
            <charset val="134"/>
          </rPr>
          <t>分母取补充资料表“加权平均净资产”，请按证监会编报规则第9号计算后填入。</t>
        </r>
      </text>
    </comment>
    <comment ref="A22" authorId="0">
      <text>
        <r>
          <rPr>
            <sz val="10"/>
            <rFont val="宋体"/>
            <charset val="134"/>
          </rPr>
          <t>分母取补充资料表“加权平均净资产”；分子取扣除非经常性损益后净利润。</t>
        </r>
      </text>
    </comment>
    <comment ref="A28" authorId="0">
      <text>
        <r>
          <rPr>
            <sz val="10"/>
            <rFont val="宋体"/>
            <charset val="134"/>
          </rPr>
          <t>模板中的其他常用指标占位行，当前未定义指标及公式，因此以公式0显示为横线。</t>
        </r>
      </text>
    </comment>
  </commentList>
</comments>
</file>

<file path=xl/comments3.xml><?xml version="1.0" encoding="utf-8"?>
<comments xmlns="http://schemas.openxmlformats.org/spreadsheetml/2006/main">
  <authors>
    <author>Codex</author>
  </authors>
  <commentList>
    <comment ref="A19" authorId="0">
      <text>
        <r>
          <rPr>
            <sz val="10"/>
            <rFont val="宋体"/>
            <charset val="134"/>
          </rPr>
          <t>当前资产负债表暂无同名科目。已内置精确匹配公式；如后续在资产负债表新增该科目，本行会自动取数。</t>
        </r>
      </text>
    </comment>
  </commentList>
</comments>
</file>

<file path=xl/comments4.xml><?xml version="1.0" encoding="utf-8"?>
<comments xmlns="http://schemas.openxmlformats.org/spreadsheetml/2006/main">
  <authors>
    <author>Codex</author>
  </authors>
  <commentList>
    <comment ref="A23" authorId="0">
      <text>
        <r>
          <rPr>
            <sz val="10"/>
            <rFont val="宋体"/>
            <charset val="134"/>
          </rPr>
          <t>当前资产负债表暂无同名科目。已内置精确匹配公式；如后续新增该科目，本行会自动取数。</t>
        </r>
      </text>
    </comment>
  </commentList>
</comments>
</file>

<file path=xl/comments5.xml><?xml version="1.0" encoding="utf-8"?>
<comments xmlns="http://schemas.openxmlformats.org/spreadsheetml/2006/main">
  <authors>
    <author>Codex</author>
  </authors>
  <commentList>
    <comment ref="A19" authorId="0">
      <text>
        <r>
          <rPr>
            <sz val="10"/>
            <rFont val="宋体"/>
            <charset val="134"/>
          </rPr>
          <t>当前利润表暂无同名科目。已内置精确匹配公式；如后续新增该科目，本行会自动取数。</t>
        </r>
      </text>
    </comment>
  </commentList>
</comments>
</file>

<file path=xl/comments6.xml><?xml version="1.0" encoding="utf-8"?>
<comments xmlns="http://schemas.openxmlformats.org/spreadsheetml/2006/main">
  <authors>
    <author>Codex</author>
  </authors>
  <commentList>
    <comment ref="A6" authorId="0">
      <text>
        <r>
          <rPr>
            <sz val="10"/>
            <rFont val="宋体"/>
            <charset val="134"/>
          </rPr>
          <t>EBITDA＝利润总额＋费用化利息支出＋计提折旧额＋无形资产摊销额＋长期待摊费用摊销。</t>
        </r>
      </text>
    </comment>
  </commentList>
</comments>
</file>

<file path=xl/comments7.xml><?xml version="1.0" encoding="utf-8"?>
<comments xmlns="http://schemas.openxmlformats.org/spreadsheetml/2006/main">
  <authors>
    <author>Codex</author>
  </authors>
  <commentList>
    <comment ref="A4" authorId="0">
      <text>
        <r>
          <rPr>
            <sz val="10"/>
            <rFont val="宋体"/>
            <charset val="134"/>
          </rPr>
          <t>营业收入÷平均应收账款。最新一期营业收入按报告月份数年化。</t>
        </r>
      </text>
    </comment>
    <comment ref="A13" authorId="0">
      <text>
        <r>
          <rPr>
            <sz val="10"/>
            <rFont val="宋体"/>
            <charset val="134"/>
          </rPr>
          <t>应收账款周转天数＋存货周转天数－应付账款周转天数。</t>
        </r>
      </text>
    </comment>
  </commentList>
</comments>
</file>

<file path=xl/sharedStrings.xml><?xml version="1.0" encoding="utf-8"?>
<sst xmlns="http://schemas.openxmlformats.org/spreadsheetml/2006/main" count="628" uniqueCount="279">
  <si>
    <t>项目</t>
  </si>
  <si>
    <t>最新一期</t>
  </si>
  <si>
    <t>20xx年</t>
  </si>
  <si>
    <t>是否审计</t>
  </si>
  <si>
    <t>审计机构全名</t>
  </si>
  <si>
    <t>审计结果</t>
  </si>
  <si>
    <t>项目（元）</t>
  </si>
  <si>
    <t>年份</t>
  </si>
  <si>
    <t>流动资产：</t>
  </si>
  <si>
    <t>-</t>
  </si>
  <si>
    <t>货币资金</t>
  </si>
  <si>
    <t>交易性金融资产</t>
  </si>
  <si>
    <t>衍生金融资产</t>
  </si>
  <si>
    <t>应收票据</t>
  </si>
  <si>
    <t>应收账款</t>
  </si>
  <si>
    <t>应收款项融资</t>
  </si>
  <si>
    <t>预付款项</t>
  </si>
  <si>
    <t>其他应收款</t>
  </si>
  <si>
    <t>存货</t>
  </si>
  <si>
    <t>合同资产</t>
  </si>
  <si>
    <t>持有待售资产</t>
  </si>
  <si>
    <t>一年内到期的非流动资产</t>
  </si>
  <si>
    <t>其他流动资产</t>
  </si>
  <si>
    <t>流动资产合计</t>
  </si>
  <si>
    <t>非流动资产：</t>
  </si>
  <si>
    <t>债权投资</t>
  </si>
  <si>
    <t>其他债权投资</t>
  </si>
  <si>
    <t>长期应收款</t>
  </si>
  <si>
    <t>长期股权投资</t>
  </si>
  <si>
    <t>其他权益工具投资</t>
  </si>
  <si>
    <t>其他非流动金融资产</t>
  </si>
  <si>
    <t>投资性房地产</t>
  </si>
  <si>
    <t>固定资产</t>
  </si>
  <si>
    <t>在建工程</t>
  </si>
  <si>
    <t>生产性生物资产</t>
  </si>
  <si>
    <t>油气资产</t>
  </si>
  <si>
    <t>使用权资产</t>
  </si>
  <si>
    <t>无形资产</t>
  </si>
  <si>
    <t>开发支出</t>
  </si>
  <si>
    <t>商誉</t>
  </si>
  <si>
    <t>长期待摊费用</t>
  </si>
  <si>
    <t>递延所得税资产</t>
  </si>
  <si>
    <t>其他非流动资产</t>
  </si>
  <si>
    <t>非流动资产合计</t>
  </si>
  <si>
    <t>资  产  总  计</t>
  </si>
  <si>
    <t>流动负债：</t>
  </si>
  <si>
    <t>短期借款</t>
  </si>
  <si>
    <t>交易性金融负债</t>
  </si>
  <si>
    <t>衍生金融负债</t>
  </si>
  <si>
    <t>应付票据</t>
  </si>
  <si>
    <t>应付账款</t>
  </si>
  <si>
    <t>预收款项</t>
  </si>
  <si>
    <t>合同负债</t>
  </si>
  <si>
    <t>应付职工薪酬</t>
  </si>
  <si>
    <t>应交税费</t>
  </si>
  <si>
    <t>其他应付款</t>
  </si>
  <si>
    <t>持有待售负债</t>
  </si>
  <si>
    <t>一年内到期的非流动负债</t>
  </si>
  <si>
    <t>其他流动负债</t>
  </si>
  <si>
    <t>流动负债合计</t>
  </si>
  <si>
    <t>非流动负债：</t>
  </si>
  <si>
    <t>长期借款</t>
  </si>
  <si>
    <t>应付债券</t>
  </si>
  <si>
    <t>其中：优先股</t>
  </si>
  <si>
    <t xml:space="preserve">      永续债</t>
  </si>
  <si>
    <t>租赁负债</t>
  </si>
  <si>
    <t>长期应付款</t>
  </si>
  <si>
    <t>预计负债</t>
  </si>
  <si>
    <t>递延收益</t>
  </si>
  <si>
    <t>递延所得税负债</t>
  </si>
  <si>
    <t>其他非流动负债</t>
  </si>
  <si>
    <t>非流动负债合计</t>
  </si>
  <si>
    <t>负 债 合 计</t>
  </si>
  <si>
    <t>所有者权益（或股东权益）：</t>
  </si>
  <si>
    <t>实收资本（或股本）</t>
  </si>
  <si>
    <t>其他权益工具</t>
  </si>
  <si>
    <t>资本公积</t>
  </si>
  <si>
    <t>减：库存股</t>
  </si>
  <si>
    <t>其他综合收益</t>
  </si>
  <si>
    <t>专项储备</t>
  </si>
  <si>
    <t>盈余公积</t>
  </si>
  <si>
    <t>未分配利润</t>
  </si>
  <si>
    <t>*归属于母公司所有者权益合计</t>
  </si>
  <si>
    <t xml:space="preserve">       *少数股东权益</t>
  </si>
  <si>
    <t>所有者权益(或股东权益）合计</t>
  </si>
  <si>
    <t>负债和所有者权益(或股东权益）总计</t>
  </si>
  <si>
    <t>一、营业总收入</t>
  </si>
  <si>
    <t>其中：营业收入</t>
  </si>
  <si>
    <t>二、营业总成本</t>
  </si>
  <si>
    <t>其中：营业成本</t>
  </si>
  <si>
    <t xml:space="preserve">    税金及附加</t>
  </si>
  <si>
    <t xml:space="preserve">    销售费用</t>
  </si>
  <si>
    <t xml:space="preserve">    管理费用</t>
  </si>
  <si>
    <t xml:space="preserve">    研发费用</t>
  </si>
  <si>
    <t xml:space="preserve">    财务费用</t>
  </si>
  <si>
    <t xml:space="preserve">      其中：利息费用</t>
  </si>
  <si>
    <t xml:space="preserve">            利息收入</t>
  </si>
  <si>
    <t>加：其他收益</t>
  </si>
  <si>
    <t xml:space="preserve">   投资收益（损失以“-”号填列）</t>
  </si>
  <si>
    <t xml:space="preserve">     其中：对联营企业和合营企业的投资收益</t>
  </si>
  <si>
    <t xml:space="preserve">           以摊余成本计量的金融资产终止确认收益（损失以“-”号填列）</t>
  </si>
  <si>
    <t xml:space="preserve">   净敞口套期收益（损失以“-”号填列）</t>
  </si>
  <si>
    <t xml:space="preserve">   公允价值变动收益（损失以“-”号填列）</t>
  </si>
  <si>
    <t xml:space="preserve">   信用减值损失（损失以“-”号填列）</t>
  </si>
  <si>
    <t xml:space="preserve">   资产减值损失（损失以“-”号填列）</t>
  </si>
  <si>
    <t xml:space="preserve">   资产处置收益（损失以“-”号填列）</t>
  </si>
  <si>
    <t>三、营业利润（亏损以“－”号填列）</t>
  </si>
  <si>
    <t>加：营业外收入</t>
  </si>
  <si>
    <t>减：营业外支出</t>
  </si>
  <si>
    <t>四、利润总额（亏损总额以“－”号填列）</t>
  </si>
  <si>
    <t>减：所得税费用</t>
  </si>
  <si>
    <t>五、净利润（净亏损以“－”号填列）</t>
  </si>
  <si>
    <t>（一）持续经营净利润（净亏损以“-”号填列）</t>
  </si>
  <si>
    <t>（二）终止经营净利润（净亏损以“-”号填列）</t>
  </si>
  <si>
    <t>归属于母公司所有者的净利润</t>
  </si>
  <si>
    <t>少数股东损益</t>
  </si>
  <si>
    <t>六、其他综合收益的税后净额</t>
  </si>
  <si>
    <t>（一）不能重分类进损益的其他综合收益</t>
  </si>
  <si>
    <t>1．重新计量设定受益计划变动额</t>
  </si>
  <si>
    <t>2．权益法下不能转损益的其他综合收益</t>
  </si>
  <si>
    <t>3．其他权益工具投资公允价值变动</t>
  </si>
  <si>
    <t>4．企业自身信用风险公允价值变动</t>
  </si>
  <si>
    <t>（二）将重分类进损益的其他综合收益</t>
  </si>
  <si>
    <t>1．权益法下可转损益的其他综合收益</t>
  </si>
  <si>
    <t>2．其他债权投资公允价值变动</t>
  </si>
  <si>
    <t>3．金融资产重分类计入其他综合收益的金额</t>
  </si>
  <si>
    <t>4．其他债权投资信用减值准备</t>
  </si>
  <si>
    <t>5．现金流量套期储备</t>
  </si>
  <si>
    <t>6．外币财务报表折算差额</t>
  </si>
  <si>
    <t>七、综合收益总额</t>
  </si>
  <si>
    <t>八、每股收益：</t>
  </si>
  <si>
    <t>（一）基本每股收益</t>
  </si>
  <si>
    <t>（二）稀释每股收益</t>
  </si>
  <si>
    <t>一、经营活动产生的现金流量：</t>
  </si>
  <si>
    <t>销售商品、提供劳务收到的现金</t>
  </si>
  <si>
    <t>收到的税费返还</t>
  </si>
  <si>
    <t>收到其他与经营活动有关的现金</t>
  </si>
  <si>
    <t>经营活动现金流入小计</t>
  </si>
  <si>
    <t>购买商品、接收劳务支付的现金</t>
  </si>
  <si>
    <t>支付给职工以及为职工支付的现金</t>
  </si>
  <si>
    <t>支付的各项税费</t>
  </si>
  <si>
    <t>支付其他与经营活动有关的现金</t>
  </si>
  <si>
    <t>经营活动现金流出小计</t>
  </si>
  <si>
    <t>经营活动产生的现金流量净额</t>
  </si>
  <si>
    <t>二、投资活动产生的现金流量：</t>
  </si>
  <si>
    <t>收回投资收到的现金</t>
  </si>
  <si>
    <t>取得投资收益收到的现金</t>
  </si>
  <si>
    <t>处置固定资产、无形资产和其他长期资产收回的现金净额</t>
  </si>
  <si>
    <t>处置子公司及其他营业单位收到的现金净额</t>
  </si>
  <si>
    <t>收到其他与投资活动有关的现金</t>
  </si>
  <si>
    <t>投资活动现金流入小计</t>
  </si>
  <si>
    <t>购建固定资产、无形资产和其他长期资产支付的现金</t>
  </si>
  <si>
    <t>投资支付的现金</t>
  </si>
  <si>
    <t>取得子公司及其他营业单位支付的现金净额</t>
  </si>
  <si>
    <t>支付其他与投资活动有关的现金</t>
  </si>
  <si>
    <t>投资活动现金流出小计</t>
  </si>
  <si>
    <t>投资活动产生的现金流量净额</t>
  </si>
  <si>
    <t>三、筹资活动产生的现金流量：</t>
  </si>
  <si>
    <t>吸收投资收到的现金</t>
  </si>
  <si>
    <t>取得借款收到的现金</t>
  </si>
  <si>
    <t>收到其他与筹资活动有关的现金</t>
  </si>
  <si>
    <t>筹资活动现金流入小计</t>
  </si>
  <si>
    <t>偿还债务支付的现金</t>
  </si>
  <si>
    <t>分配股利、利润或偿付利息支付的现金</t>
  </si>
  <si>
    <t>支付其他与筹资活动有关的现金</t>
  </si>
  <si>
    <t>筹资活动现金流出小计</t>
  </si>
  <si>
    <t>筹资活动产生的现金流量净额</t>
  </si>
  <si>
    <t>四、汇率变动对现金及现金等价物的影响</t>
  </si>
  <si>
    <t>五、现金及现金等价物净增加额</t>
  </si>
  <si>
    <t>加：期初现金及现金等价物余额</t>
  </si>
  <si>
    <t>六、期末现金及现金等价物余额</t>
  </si>
  <si>
    <t>费用化利息支出</t>
  </si>
  <si>
    <t>资本化利息支出</t>
  </si>
  <si>
    <t>利息支出合计</t>
  </si>
  <si>
    <t>计提折旧额</t>
  </si>
  <si>
    <t>无形资产摊销额</t>
  </si>
  <si>
    <t>长期待摊费用摊销</t>
  </si>
  <si>
    <t>扣除非经常性损益后净利润</t>
  </si>
  <si>
    <t>加权平均净资产</t>
  </si>
  <si>
    <t>表：主要财务数据和财务指标</t>
  </si>
  <si>
    <t>总资产（亿元）</t>
  </si>
  <si>
    <t>总负债（亿元）</t>
  </si>
  <si>
    <t>全部债务（亿元）</t>
  </si>
  <si>
    <t>所有者权益（亿元）</t>
  </si>
  <si>
    <t>营业总收入（亿元）</t>
  </si>
  <si>
    <t>利润总额（亿元）</t>
  </si>
  <si>
    <t>净利润（亿元）</t>
  </si>
  <si>
    <t>扣除非经常性损益后净利润（亿元）</t>
  </si>
  <si>
    <t>归属于母公司所有者的净利润（亿元）</t>
  </si>
  <si>
    <t>经营活动产生现金流量净额（亿元）</t>
  </si>
  <si>
    <t>投资活动产生现金流量净额（亿元）</t>
  </si>
  <si>
    <t>筹资活动产生现金流量净额（亿元）</t>
  </si>
  <si>
    <t>流动比率</t>
  </si>
  <si>
    <t>速动比率</t>
  </si>
  <si>
    <t>资产负债率（%）</t>
  </si>
  <si>
    <t>债务资本比率（%）</t>
  </si>
  <si>
    <t>营业毛利率（%）</t>
  </si>
  <si>
    <t>平均总资产回报率（%）</t>
  </si>
  <si>
    <t>加权平均净资产收益率（%）</t>
  </si>
  <si>
    <t>扣除非经常性损益后加权平均净资产收益率（%）</t>
  </si>
  <si>
    <t>EBITDA（亿元）</t>
  </si>
  <si>
    <t>EBITDA全部债务比（%）</t>
  </si>
  <si>
    <t>EBITDA利息倍数</t>
  </si>
  <si>
    <t>应收账款周转率</t>
  </si>
  <si>
    <t>存货周转率</t>
  </si>
  <si>
    <t>XXXX（其他常用指标）</t>
  </si>
  <si>
    <t>【注：（1）全部债务＝长期借款+应付债券+短期借款+交易性金融负债+应付票据+应付短期债券+一年内到期的非流动负债；</t>
  </si>
  <si>
    <t>（2）流动比率＝流动资产/流动负债；</t>
  </si>
  <si>
    <t>（3）速动比率＝（流动资产-存货）/流动负债；</t>
  </si>
  <si>
    <t>（4）资产负债率（%）＝负债总额/资产总额×100%；</t>
  </si>
  <si>
    <t>（5）债务资本比率（%）＝全部债务/（全部债务+所有者权益）×100%；</t>
  </si>
  <si>
    <t>（6）平均总资产回报率（%）＝（利润总额+计入财务费用的利息支出）/（年初资产总额+年末资产总额）÷2×100%；</t>
  </si>
  <si>
    <t>（7）加权平均净资产收益率及扣除非经常性损益后加权平均净资产收益率均根据中国证券监督管理委员会《公开发行证券的公司信息披露编报规则第9号——净资产收益率和每股收益的计算及披露 》（2010年修订）计算；</t>
  </si>
  <si>
    <t>（8）EBITDA＝利润总额+计入财务费用的利息支出＋固定资产折旧＋摊销（无形资产摊销＋长期待摊费用摊销）；</t>
  </si>
  <si>
    <t>（9）EBITDA全部债务比（%）=EBITDA/全部债务×100%；</t>
  </si>
  <si>
    <t>（10）EBITDA利息保障倍数＝EBITDA/利息支出＝EBITDA/（计入财务费用的利息支出＋资本化利息）；</t>
  </si>
  <si>
    <t>（11）应收账款周转率=营业收入/平均应收账款；</t>
  </si>
  <si>
    <t>（12）存货周转率=营业成本/平均存货；</t>
  </si>
  <si>
    <t>（13）面向普通投资者公开发行的，除上述项目外，还应在表格中披露以下指标：</t>
  </si>
  <si>
    <t>利息保障倍数=息税前利润/（计入财务费用的利息支出＋资本化的利息支出）；</t>
  </si>
  <si>
    <t>现金利息保障倍数=（经营活动产生的现金流量净额＋现金利息支出＋所得税付现）/现金利息支出；</t>
  </si>
  <si>
    <t>贷款偿还率（%）=实际贷款偿还额/应偿还贷款额×100%；</t>
  </si>
  <si>
    <t>利息偿付率（%）=实际支付利息/应付利息×100%；</t>
  </si>
  <si>
    <t>（14）确不适用的项目，请直接填写“-”，避免删除或缺失；</t>
  </si>
  <si>
    <t>表：资产结构分析</t>
  </si>
  <si>
    <t>单位：万元、%</t>
  </si>
  <si>
    <t>科目</t>
  </si>
  <si>
    <t>余额</t>
  </si>
  <si>
    <t>占比</t>
  </si>
  <si>
    <t>可供出售金融资产</t>
  </si>
  <si>
    <t>资产总计</t>
  </si>
  <si>
    <t>表：负债结构分析</t>
  </si>
  <si>
    <t>金额</t>
  </si>
  <si>
    <t>长期应付职工薪酬</t>
  </si>
  <si>
    <t>负债合计</t>
  </si>
  <si>
    <t>表：盈利能力分析</t>
  </si>
  <si>
    <t>单位：万元，%</t>
  </si>
  <si>
    <t>税金及附加</t>
  </si>
  <si>
    <t>销售费用</t>
  </si>
  <si>
    <t>管理费用</t>
  </si>
  <si>
    <t>研发费用</t>
  </si>
  <si>
    <t>财务费用</t>
  </si>
  <si>
    <t>其他收益</t>
  </si>
  <si>
    <t>投资收益</t>
  </si>
  <si>
    <t>其中：对联营企业和合营企业的投资收益</t>
  </si>
  <si>
    <t>公允价值变动收益</t>
  </si>
  <si>
    <t>资产减值损失
（损失以“-”填列）</t>
  </si>
  <si>
    <t>信用减值损失
（损失以“-”填列）</t>
  </si>
  <si>
    <t>资产处置收益</t>
  </si>
  <si>
    <t>汇兑净收益</t>
  </si>
  <si>
    <t>三、营业利润</t>
  </si>
  <si>
    <t>四、利润总额</t>
  </si>
  <si>
    <t>五、净利润</t>
  </si>
  <si>
    <t>归属于母公司股东的净利润</t>
  </si>
  <si>
    <t>表：现金流量金额和构成情况</t>
  </si>
  <si>
    <t>单位：万元</t>
  </si>
  <si>
    <t>现金及现金等价物净增加额</t>
  </si>
  <si>
    <t>期末现金及现金等价物余额</t>
  </si>
  <si>
    <t>表：报告期内发行人偿债能力指标</t>
  </si>
  <si>
    <t>注：流动比率＝流动资产／流动负债；</t>
  </si>
  <si>
    <t>速动比率＝（流动资产－存货）／流动负债；</t>
  </si>
  <si>
    <t>资产负债率＝负债总计／资产总计；</t>
  </si>
  <si>
    <t>EBITDA利息倍数＝EBITDA／（资本化利息＋计入财务费用的利息支出）。</t>
  </si>
  <si>
    <t>表：报告期内发行人运营能力指标</t>
  </si>
  <si>
    <t>最新一期报告月数</t>
  </si>
  <si>
    <t>周转率指标</t>
  </si>
  <si>
    <t>应付账款周转率</t>
  </si>
  <si>
    <t>流动资产周转率</t>
  </si>
  <si>
    <t>总资产周转率</t>
  </si>
  <si>
    <t>周转天数指标</t>
  </si>
  <si>
    <t>应收账款周转天数（天）</t>
  </si>
  <si>
    <t>存货周转天数（天）</t>
  </si>
  <si>
    <t>应付账款周转天数（天）</t>
  </si>
  <si>
    <t>现金周转周期（天）</t>
  </si>
  <si>
    <t>注：（1）最新一期损益表数据按“12÷报告期月份数”年化，报告月份数根据“基本信息”B1自动识别；</t>
  </si>
  <si>
    <t>（2）周转率均采用平均余额，即（期初余额＋期末余额）÷2；</t>
  </si>
  <si>
    <t>（3）应付账款周转率以营业成本替代采购额计算；</t>
  </si>
  <si>
    <t>（4）各项周转天数以360天为基础计算；</t>
  </si>
  <si>
    <t>（5）最早年度因缺少上一年末余额暂不计算，公式显示为空白。</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</si>
</sst>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4" formatCode="_ &quot;￥&quot;* #,##0.00_ ;_ &quot;￥&quot;* \-#,##0.00_ ;_ &quot;￥&quot;* &quot;-&quot;??_ ;_ @_ "/>
    <numFmt numFmtId="176" formatCode="_ * #,##0.00_ ;_ * \-#,##0.00_ ;_ * \-??_ ;_ @_ "/>
    <numFmt numFmtId="177" formatCode="0.00;[Red]\(0.00\);\-"/>
    <numFmt numFmtId="178" formatCode="0.00%;[Red]\(0.00%\);\-"/>
    <numFmt numFmtId="179" formatCode="#,##0.00;[Red]\(#,##0.00\);\-"/>
    <numFmt numFmtId="180" formatCode="_ * #,##0_ ;_ * \-#,##0_ ;_ * \-??_ ;_ @_ "/>
    <numFmt numFmtId="181" formatCode="_ * #,##0_ ;_ * \-#,##0_ ;_ * \-_ ;_ @_ "/>
    <numFmt numFmtId="182" formatCode="yyyy\-m\-d"/>
  </numFmts>
  <fonts count="41">
    <font>
      <sz val="11"/>
      <color theme="1"/>
      <name val="Linux Libertine G"/>
      <charset val="134"/>
    </font>
    <font>
      <b/>
      <sz val="14"/>
      <color rgb="FFFFFFFF"/>
      <name val="宋体"/>
      <charset val="134"/>
    </font>
    <font>
      <b/>
      <sz val="10"/>
      <color rgb="FFFFFFFF"/>
      <name val="宋体"/>
      <charset val="134"/>
    </font>
    <font>
      <sz val="9"/>
      <color rgb="FF000000"/>
      <name val="宋体"/>
      <charset val="134"/>
    </font>
    <font>
      <sz val="9"/>
      <color rgb="FF000000"/>
      <name val="Times New Roman"/>
      <charset val="134"/>
    </font>
    <font>
      <b/>
      <sz val="10"/>
      <color rgb="FF000000"/>
      <name val="宋体"/>
      <charset val="134"/>
    </font>
    <font>
      <sz val="10"/>
      <color rgb="FF000000"/>
      <name val="宋体"/>
      <charset val="134"/>
    </font>
    <font>
      <sz val="10"/>
      <color rgb="FF000000"/>
      <name val="Times New Roman"/>
      <charset val="134"/>
    </font>
    <font>
      <b/>
      <sz val="10"/>
      <color rgb="FF000000"/>
      <name val="Times New Roman"/>
      <charset val="134"/>
    </font>
    <font>
      <b/>
      <sz val="10"/>
      <color theme="1"/>
      <name val="Times New Roman"/>
      <charset val="134"/>
    </font>
    <font>
      <sz val="9"/>
      <color theme="1"/>
      <name val="Linux Libertine G"/>
      <charset val="134"/>
    </font>
    <font>
      <b/>
      <sz val="11"/>
      <color rgb="FF000000"/>
      <name val="宋体"/>
      <charset val="134"/>
    </font>
    <font>
      <sz val="11"/>
      <color rgb="FF000000"/>
      <name val="宋体"/>
      <charset val="134"/>
    </font>
    <font>
      <sz val="11"/>
      <color rgb="FF000000"/>
      <name val="Times New Roman"/>
      <charset val="134"/>
    </font>
    <font>
      <sz val="11"/>
      <name val="宋体"/>
      <charset val="134"/>
    </font>
    <font>
      <sz val="10"/>
      <color rgb="FF0000FF"/>
      <name val="Times New Roman"/>
      <charset val="134"/>
    </font>
    <font>
      <sz val="11.05"/>
      <color rgb="FF000000"/>
      <name val="宋体"/>
      <charset val="134"/>
    </font>
    <font>
      <sz val="11"/>
      <color theme="1"/>
      <name val="宋体"/>
      <charset val="134"/>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2"/>
      <name val="宋体"/>
      <charset val="134"/>
    </font>
    <font>
      <sz val="10"/>
      <name val="宋体"/>
      <charset val="134"/>
    </font>
  </fonts>
  <fills count="45">
    <fill>
      <patternFill patternType="none"/>
    </fill>
    <fill>
      <patternFill patternType="gray125"/>
    </fill>
    <fill>
      <patternFill patternType="solid">
        <fgColor rgb="FF1F4E78"/>
        <bgColor indexed="64"/>
      </patternFill>
    </fill>
    <fill>
      <patternFill patternType="solid">
        <fgColor rgb="FFE7E6E6"/>
        <bgColor indexed="64"/>
      </patternFill>
    </fill>
    <fill>
      <patternFill patternType="solid">
        <fgColor rgb="FFEAF3F8"/>
        <bgColor indexed="64"/>
      </patternFill>
    </fill>
    <fill>
      <patternFill patternType="solid">
        <fgColor rgb="FFFFFFFF"/>
        <bgColor indexed="64"/>
      </patternFill>
    </fill>
    <fill>
      <patternFill patternType="solid">
        <fgColor rgb="FFF2F2F2"/>
        <bgColor indexed="64"/>
      </patternFill>
    </fill>
    <fill>
      <patternFill patternType="solid">
        <fgColor rgb="FFF8CBAD"/>
        <bgColor rgb="FFFFE699"/>
      </patternFill>
    </fill>
    <fill>
      <patternFill patternType="solid">
        <fgColor rgb="FFD9D9D9"/>
        <bgColor rgb="FFDBDBDB"/>
      </patternFill>
    </fill>
    <fill>
      <patternFill patternType="solid">
        <fgColor rgb="FFDEEBF7"/>
        <bgColor rgb="FFDAEEF3"/>
      </patternFill>
    </fill>
    <fill>
      <patternFill patternType="solid">
        <fgColor rgb="FFFFE699"/>
        <bgColor rgb="FFF8CBAD"/>
      </patternFill>
    </fill>
    <fill>
      <patternFill patternType="solid">
        <fgColor rgb="FFC5E0B4"/>
        <bgColor rgb="FFD9D9D9"/>
      </patternFill>
    </fill>
    <fill>
      <patternFill patternType="solid">
        <fgColor rgb="FFDBDBDB"/>
        <bgColor rgb="FFD9D9D9"/>
      </patternFill>
    </fill>
    <fill>
      <patternFill patternType="solid">
        <fgColor rgb="FFFFFF00"/>
        <bgColor rgb="FFFFFF00"/>
      </patternFill>
    </fill>
    <fill>
      <patternFill patternType="solid">
        <fgColor rgb="FFDAEEF3"/>
        <bgColor rgb="FFDEEBF7"/>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rgb="FFA6A6A6"/>
      </left>
      <right style="thin">
        <color rgb="FFA6A6A6"/>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A6A6A6"/>
      </left>
      <right style="thin">
        <color rgb="FFA6A6A6"/>
      </right>
      <top style="medium">
        <color rgb="FF1F4E78"/>
      </top>
      <bottom style="thin">
        <color rgb="FFA6A6A6"/>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bottom/>
      <diagonal/>
    </border>
    <border>
      <left/>
      <right/>
      <top style="thin">
        <color auto="1"/>
      </top>
      <bottom/>
      <diagonal/>
    </border>
    <border>
      <left style="thin">
        <color auto="1"/>
      </left>
      <right style="thin">
        <color auto="1"/>
      </right>
      <top style="thin">
        <color auto="1"/>
      </top>
      <bottom style="medium">
        <color auto="1"/>
      </bottom>
      <diagonal/>
    </border>
    <border>
      <left/>
      <right/>
      <top style="medium">
        <color auto="1"/>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176" fontId="17" fillId="0" borderId="0">
      <alignment vertical="center"/>
    </xf>
    <xf numFmtId="44" fontId="18" fillId="0" borderId="0"/>
    <xf numFmtId="9" fontId="17" fillId="0" borderId="0">
      <alignment vertical="center"/>
    </xf>
    <xf numFmtId="41" fontId="18" fillId="0" borderId="0"/>
    <xf numFmtId="42" fontId="18" fillId="0" borderId="0"/>
    <xf numFmtId="0" fontId="19" fillId="0" borderId="0">
      <alignment vertical="center"/>
    </xf>
    <xf numFmtId="0" fontId="20" fillId="0" borderId="0">
      <alignment vertical="center"/>
    </xf>
    <xf numFmtId="0" fontId="21" fillId="15" borderId="14">
      <alignment vertical="center"/>
    </xf>
    <xf numFmtId="0" fontId="22" fillId="0" borderId="0">
      <alignment vertical="center"/>
    </xf>
    <xf numFmtId="0" fontId="23" fillId="0" borderId="0">
      <alignment vertical="center"/>
    </xf>
    <xf numFmtId="0" fontId="24" fillId="0" borderId="0">
      <alignment vertical="center"/>
    </xf>
    <xf numFmtId="0" fontId="25" fillId="0" borderId="15">
      <alignment vertical="center"/>
    </xf>
    <xf numFmtId="0" fontId="26" fillId="0" borderId="15">
      <alignment vertical="center"/>
    </xf>
    <xf numFmtId="0" fontId="27" fillId="0" borderId="16">
      <alignment vertical="center"/>
    </xf>
    <xf numFmtId="0" fontId="27" fillId="0" borderId="0">
      <alignment vertical="center"/>
    </xf>
    <xf numFmtId="0" fontId="28" fillId="16" borderId="17">
      <alignment vertical="center"/>
    </xf>
    <xf numFmtId="0" fontId="29" fillId="6" borderId="18">
      <alignment vertical="center"/>
    </xf>
    <xf numFmtId="0" fontId="30" fillId="6" borderId="17">
      <alignment vertical="center"/>
    </xf>
    <xf numFmtId="0" fontId="31" fillId="17" borderId="19">
      <alignment vertical="center"/>
    </xf>
    <xf numFmtId="0" fontId="32" fillId="0" borderId="20">
      <alignment vertical="center"/>
    </xf>
    <xf numFmtId="0" fontId="33" fillId="0" borderId="21">
      <alignment vertical="center"/>
    </xf>
    <xf numFmtId="0" fontId="34" fillId="18" borderId="0">
      <alignment vertical="center"/>
    </xf>
    <xf numFmtId="0" fontId="35" fillId="19" borderId="0">
      <alignment vertical="center"/>
    </xf>
    <xf numFmtId="0" fontId="36" fillId="20" borderId="0">
      <alignment vertical="center"/>
    </xf>
    <xf numFmtId="0" fontId="37" fillId="21" borderId="0">
      <alignment vertical="center"/>
    </xf>
    <xf numFmtId="0" fontId="38" fillId="22" borderId="0">
      <alignment vertical="center"/>
    </xf>
    <xf numFmtId="0" fontId="38" fillId="23" borderId="0">
      <alignment vertical="center"/>
    </xf>
    <xf numFmtId="0" fontId="37" fillId="24" borderId="0">
      <alignment vertical="center"/>
    </xf>
    <xf numFmtId="0" fontId="37" fillId="25" borderId="0">
      <alignment vertical="center"/>
    </xf>
    <xf numFmtId="0" fontId="38" fillId="26" borderId="0">
      <alignment vertical="center"/>
    </xf>
    <xf numFmtId="0" fontId="38" fillId="27" borderId="0">
      <alignment vertical="center"/>
    </xf>
    <xf numFmtId="0" fontId="37" fillId="28" borderId="0">
      <alignment vertical="center"/>
    </xf>
    <xf numFmtId="0" fontId="37" fillId="29" borderId="0">
      <alignment vertical="center"/>
    </xf>
    <xf numFmtId="0" fontId="38" fillId="30" borderId="0">
      <alignment vertical="center"/>
    </xf>
    <xf numFmtId="0" fontId="38" fillId="31" borderId="0">
      <alignment vertical="center"/>
    </xf>
    <xf numFmtId="0" fontId="37" fillId="32" borderId="0">
      <alignment vertical="center"/>
    </xf>
    <xf numFmtId="0" fontId="37" fillId="33" borderId="0">
      <alignment vertical="center"/>
    </xf>
    <xf numFmtId="0" fontId="38" fillId="34" borderId="0">
      <alignment vertical="center"/>
    </xf>
    <xf numFmtId="0" fontId="38" fillId="35" borderId="0">
      <alignment vertical="center"/>
    </xf>
    <xf numFmtId="0" fontId="37" fillId="36" borderId="0">
      <alignment vertical="center"/>
    </xf>
    <xf numFmtId="0" fontId="37" fillId="37" borderId="0">
      <alignment vertical="center"/>
    </xf>
    <xf numFmtId="0" fontId="38" fillId="38" borderId="0">
      <alignment vertical="center"/>
    </xf>
    <xf numFmtId="0" fontId="38" fillId="39" borderId="0">
      <alignment vertical="center"/>
    </xf>
    <xf numFmtId="0" fontId="37" fillId="40" borderId="0">
      <alignment vertical="center"/>
    </xf>
    <xf numFmtId="0" fontId="37" fillId="41" borderId="0">
      <alignment vertical="center"/>
    </xf>
    <xf numFmtId="0" fontId="38" fillId="42" borderId="0">
      <alignment vertical="center"/>
    </xf>
    <xf numFmtId="0" fontId="38" fillId="43" borderId="0">
      <alignment vertical="center"/>
    </xf>
    <xf numFmtId="0" fontId="37" fillId="44" borderId="0">
      <alignment vertical="center"/>
    </xf>
    <xf numFmtId="176" fontId="39" fillId="0" borderId="0">
      <alignment vertical="center"/>
    </xf>
    <xf numFmtId="0" fontId="17" fillId="0" borderId="0">
      <alignment vertical="center"/>
    </xf>
  </cellStyleXfs>
  <cellXfs count="114">
    <xf numFmtId="0" fontId="0" fillId="0" borderId="0" xfId="0"/>
    <xf numFmtId="0" fontId="1" fillId="2" borderId="0" xfId="0" applyFont="1" applyFill="1" applyAlignment="1">
      <alignment horizontal="center" vertical="center"/>
    </xf>
    <xf numFmtId="0" fontId="2" fillId="2" borderId="1" xfId="0" applyFont="1" applyFill="1" applyBorder="1" applyAlignment="1">
      <alignment horizontal="center" vertical="center" wrapText="1"/>
    </xf>
    <xf numFmtId="0" fontId="3" fillId="0" borderId="0" xfId="0" applyFont="1"/>
    <xf numFmtId="0" fontId="4" fillId="0" borderId="0" xfId="0" applyFont="1"/>
    <xf numFmtId="0" fontId="5" fillId="3" borderId="1" xfId="0" applyFont="1" applyFill="1" applyBorder="1" applyAlignment="1">
      <alignment horizontal="left" vertical="center"/>
    </xf>
    <xf numFmtId="0" fontId="0" fillId="0" borderId="2" xfId="0" applyBorder="1"/>
    <xf numFmtId="0" fontId="0" fillId="0" borderId="3" xfId="0" applyBorder="1"/>
    <xf numFmtId="0" fontId="6" fillId="4" borderId="1" xfId="0" applyFont="1" applyFill="1" applyBorder="1" applyAlignment="1">
      <alignment horizontal="left" vertical="center"/>
    </xf>
    <xf numFmtId="177" fontId="7" fillId="4" borderId="1" xfId="0" applyNumberFormat="1" applyFont="1" applyFill="1" applyBorder="1" applyAlignment="1">
      <alignment horizontal="right" vertical="center"/>
    </xf>
    <xf numFmtId="0" fontId="6" fillId="5" borderId="1" xfId="0" applyFont="1" applyFill="1" applyBorder="1" applyAlignment="1">
      <alignment horizontal="left" vertical="center"/>
    </xf>
    <xf numFmtId="177" fontId="7" fillId="5" borderId="1" xfId="0" applyNumberFormat="1" applyFont="1" applyFill="1" applyBorder="1" applyAlignment="1">
      <alignment horizontal="right" vertical="center"/>
    </xf>
    <xf numFmtId="0" fontId="5" fillId="4" borderId="4" xfId="0" applyFont="1" applyFill="1" applyBorder="1" applyAlignment="1">
      <alignment horizontal="left" vertical="center"/>
    </xf>
    <xf numFmtId="177" fontId="8" fillId="4" borderId="4" xfId="0" applyNumberFormat="1" applyFont="1" applyFill="1" applyBorder="1" applyAlignment="1">
      <alignment horizontal="right" vertical="center"/>
    </xf>
    <xf numFmtId="0" fontId="3" fillId="6" borderId="0" xfId="0" applyFont="1" applyFill="1" applyAlignment="1">
      <alignment horizontal="left" vertical="center" wrapText="1"/>
    </xf>
    <xf numFmtId="178" fontId="7" fillId="4" borderId="1" xfId="0" applyNumberFormat="1" applyFont="1" applyFill="1" applyBorder="1" applyAlignment="1">
      <alignment horizontal="right" vertical="center"/>
    </xf>
    <xf numFmtId="0" fontId="3" fillId="0" borderId="0" xfId="0" applyFont="1" applyAlignment="1">
      <alignment horizontal="right" vertical="center"/>
    </xf>
    <xf numFmtId="0" fontId="6" fillId="0" borderId="1" xfId="0" applyFont="1" applyBorder="1" applyAlignment="1">
      <alignment horizontal="left" vertical="center" wrapText="1"/>
    </xf>
    <xf numFmtId="179" fontId="7" fillId="0" borderId="1" xfId="0" applyNumberFormat="1" applyFont="1" applyBorder="1" applyAlignment="1">
      <alignment horizontal="right" vertical="center"/>
    </xf>
    <xf numFmtId="0" fontId="5" fillId="4" borderId="4" xfId="0" applyFont="1" applyFill="1" applyBorder="1" applyAlignment="1">
      <alignment horizontal="left" vertical="center" wrapText="1"/>
    </xf>
    <xf numFmtId="179" fontId="8" fillId="4" borderId="4" xfId="0" applyNumberFormat="1" applyFont="1" applyFill="1" applyBorder="1" applyAlignment="1">
      <alignment horizontal="right" vertical="center"/>
    </xf>
    <xf numFmtId="179" fontId="0" fillId="0" borderId="2" xfId="0" applyNumberFormat="1" applyBorder="1"/>
    <xf numFmtId="179" fontId="0" fillId="0" borderId="3" xfId="0" applyNumberFormat="1" applyBorder="1"/>
    <xf numFmtId="178" fontId="7" fillId="0" borderId="1" xfId="0" applyNumberFormat="1" applyFont="1" applyBorder="1" applyAlignment="1">
      <alignment horizontal="right" vertical="center"/>
    </xf>
    <xf numFmtId="178" fontId="8" fillId="4" borderId="4" xfId="0" applyNumberFormat="1" applyFont="1" applyFill="1" applyBorder="1" applyAlignment="1">
      <alignment horizontal="right" vertical="center"/>
    </xf>
    <xf numFmtId="178" fontId="9" fillId="4" borderId="4" xfId="0" applyNumberFormat="1" applyFont="1" applyFill="1" applyBorder="1" applyAlignment="1">
      <alignment horizontal="right" vertical="center"/>
    </xf>
    <xf numFmtId="0" fontId="6" fillId="4" borderId="1" xfId="0" applyFont="1" applyFill="1" applyBorder="1" applyAlignment="1">
      <alignment horizontal="left" vertical="center" wrapText="1"/>
    </xf>
    <xf numFmtId="179" fontId="7" fillId="4" borderId="1" xfId="0" applyNumberFormat="1" applyFont="1" applyFill="1" applyBorder="1" applyAlignment="1">
      <alignment horizontal="right" vertical="center"/>
    </xf>
    <xf numFmtId="0" fontId="6" fillId="5" borderId="1" xfId="0" applyFont="1" applyFill="1" applyBorder="1" applyAlignment="1">
      <alignment horizontal="left" vertical="center" wrapText="1"/>
    </xf>
    <xf numFmtId="179" fontId="7" fillId="5" borderId="1" xfId="0" applyNumberFormat="1" applyFont="1" applyFill="1" applyBorder="1" applyAlignment="1">
      <alignment horizontal="right" vertical="center"/>
    </xf>
    <xf numFmtId="178" fontId="7" fillId="5" borderId="1" xfId="0" applyNumberFormat="1" applyFont="1" applyFill="1" applyBorder="1" applyAlignment="1">
      <alignment horizontal="right" vertical="center"/>
    </xf>
    <xf numFmtId="0" fontId="10" fillId="0" borderId="0" xfId="0" applyFont="1"/>
    <xf numFmtId="0" fontId="11" fillId="7" borderId="5" xfId="0" applyFont="1" applyFill="1" applyBorder="1" applyAlignment="1">
      <alignment horizontal="center" vertical="center" wrapText="1"/>
    </xf>
    <xf numFmtId="49" fontId="12" fillId="7" borderId="6" xfId="0" applyNumberFormat="1" applyFont="1" applyFill="1" applyBorder="1" applyAlignment="1">
      <alignment horizontal="center" vertical="center"/>
    </xf>
    <xf numFmtId="49" fontId="12" fillId="7" borderId="7" xfId="0" applyNumberFormat="1" applyFont="1" applyFill="1" applyBorder="1" applyAlignment="1">
      <alignment horizontal="center" vertical="center"/>
    </xf>
    <xf numFmtId="180" fontId="11" fillId="7" borderId="5" xfId="0" applyNumberFormat="1" applyFont="1" applyFill="1" applyBorder="1" applyAlignment="1">
      <alignment horizontal="center" vertical="center" wrapText="1"/>
    </xf>
    <xf numFmtId="180" fontId="12" fillId="8" borderId="7" xfId="0" applyNumberFormat="1" applyFont="1" applyFill="1" applyBorder="1" applyAlignment="1">
      <alignment horizontal="center" vertical="center"/>
    </xf>
    <xf numFmtId="0" fontId="12" fillId="7" borderId="8" xfId="0" applyFont="1" applyFill="1" applyBorder="1" applyAlignment="1">
      <alignment vertical="center" wrapText="1"/>
    </xf>
    <xf numFmtId="176" fontId="13" fillId="9" borderId="8" xfId="0" applyNumberFormat="1" applyFont="1" applyFill="1" applyBorder="1" applyAlignment="1">
      <alignment vertical="center" wrapText="1"/>
    </xf>
    <xf numFmtId="0" fontId="3" fillId="0" borderId="9" xfId="0" applyFont="1" applyBorder="1"/>
    <xf numFmtId="180" fontId="12" fillId="7" borderId="8" xfId="0" applyNumberFormat="1" applyFont="1" applyFill="1" applyBorder="1" applyAlignment="1">
      <alignment vertical="center" wrapText="1"/>
    </xf>
    <xf numFmtId="176" fontId="13" fillId="9" borderId="8" xfId="0" applyNumberFormat="1" applyFont="1" applyFill="1" applyBorder="1" applyAlignment="1">
      <alignment horizontal="right" vertical="center" wrapText="1"/>
    </xf>
    <xf numFmtId="176" fontId="13" fillId="7" borderId="8" xfId="0" applyNumberFormat="1" applyFont="1" applyFill="1" applyBorder="1" applyAlignment="1">
      <alignment vertical="center" wrapText="1"/>
    </xf>
    <xf numFmtId="176" fontId="4" fillId="7" borderId="8" xfId="0" applyNumberFormat="1" applyFont="1" applyFill="1" applyBorder="1" applyAlignment="1">
      <alignment vertical="center" wrapText="1"/>
    </xf>
    <xf numFmtId="0" fontId="14" fillId="7" borderId="8" xfId="0" applyFont="1" applyFill="1" applyBorder="1" applyAlignment="1">
      <alignment vertical="center" wrapText="1"/>
    </xf>
    <xf numFmtId="180" fontId="14" fillId="7" borderId="8" xfId="0" applyNumberFormat="1" applyFont="1" applyFill="1" applyBorder="1" applyAlignment="1">
      <alignment vertical="center" wrapText="1"/>
    </xf>
    <xf numFmtId="0" fontId="6" fillId="7" borderId="8" xfId="0" applyFont="1" applyFill="1" applyBorder="1" applyAlignment="1">
      <alignment vertical="center" wrapText="1"/>
    </xf>
    <xf numFmtId="176" fontId="15" fillId="9" borderId="8" xfId="0" applyNumberFormat="1" applyFont="1" applyFill="1" applyBorder="1" applyAlignment="1">
      <alignment vertical="center" wrapText="1"/>
    </xf>
    <xf numFmtId="176" fontId="15" fillId="9" borderId="8" xfId="0" applyNumberFormat="1" applyFont="1" applyFill="1" applyBorder="1" applyAlignment="1">
      <alignment horizontal="right" vertical="center" wrapText="1"/>
    </xf>
    <xf numFmtId="180" fontId="6" fillId="7" borderId="8" xfId="0" applyNumberFormat="1" applyFont="1" applyFill="1" applyBorder="1" applyAlignment="1">
      <alignment vertical="center" wrapText="1"/>
    </xf>
    <xf numFmtId="176" fontId="7" fillId="9" borderId="8" xfId="0" applyNumberFormat="1" applyFont="1" applyFill="1" applyBorder="1" applyAlignment="1">
      <alignment vertical="center" wrapText="1"/>
    </xf>
    <xf numFmtId="176" fontId="10" fillId="0" borderId="0" xfId="0" applyNumberFormat="1" applyFont="1"/>
    <xf numFmtId="181" fontId="10" fillId="0" borderId="0" xfId="0" applyNumberFormat="1" applyFont="1"/>
    <xf numFmtId="0" fontId="11" fillId="10" borderId="5" xfId="0" applyFont="1" applyFill="1" applyBorder="1" applyAlignment="1">
      <alignment horizontal="center" vertical="center" wrapText="1"/>
    </xf>
    <xf numFmtId="176" fontId="14" fillId="10" borderId="6" xfId="0" applyNumberFormat="1" applyFont="1" applyFill="1" applyBorder="1" applyAlignment="1">
      <alignment horizontal="center" vertical="center"/>
    </xf>
    <xf numFmtId="176" fontId="14" fillId="10" borderId="7" xfId="0" applyNumberFormat="1" applyFont="1" applyFill="1" applyBorder="1" applyAlignment="1">
      <alignment horizontal="center" vertical="center"/>
    </xf>
    <xf numFmtId="0" fontId="11" fillId="10" borderId="8" xfId="0" applyFont="1" applyFill="1" applyBorder="1" applyAlignment="1">
      <alignment horizontal="center" vertical="center" wrapText="1"/>
    </xf>
    <xf numFmtId="181" fontId="11" fillId="10" borderId="8" xfId="0" applyNumberFormat="1" applyFont="1" applyFill="1" applyBorder="1" applyAlignment="1">
      <alignment horizontal="center" vertical="center" wrapText="1"/>
    </xf>
    <xf numFmtId="0" fontId="11" fillId="10" borderId="5" xfId="0" applyFont="1" applyFill="1" applyBorder="1" applyAlignment="1">
      <alignment vertical="center" wrapText="1"/>
    </xf>
    <xf numFmtId="176" fontId="13" fillId="10" borderId="8" xfId="0" applyNumberFormat="1" applyFont="1" applyFill="1" applyBorder="1" applyAlignment="1">
      <alignment horizontal="center" vertical="center" wrapText="1"/>
    </xf>
    <xf numFmtId="0" fontId="11" fillId="10" borderId="8" xfId="0" applyFont="1" applyFill="1" applyBorder="1" applyAlignment="1">
      <alignment vertical="center" wrapText="1"/>
    </xf>
    <xf numFmtId="0" fontId="12" fillId="10" borderId="5" xfId="0" applyFont="1" applyFill="1" applyBorder="1" applyAlignment="1">
      <alignment vertical="center" wrapText="1"/>
    </xf>
    <xf numFmtId="0" fontId="12" fillId="10" borderId="8" xfId="0" applyFont="1" applyFill="1" applyBorder="1" applyAlignment="1">
      <alignment vertical="center" wrapText="1"/>
    </xf>
    <xf numFmtId="176" fontId="13" fillId="10" borderId="8" xfId="0" applyNumberFormat="1" applyFont="1" applyFill="1" applyBorder="1" applyAlignment="1">
      <alignment vertical="center" wrapText="1"/>
    </xf>
    <xf numFmtId="176" fontId="13" fillId="10" borderId="8" xfId="0" applyNumberFormat="1" applyFont="1" applyFill="1" applyBorder="1" applyAlignment="1" applyProtection="1">
      <alignment vertical="center" wrapText="1"/>
      <protection locked="0"/>
    </xf>
    <xf numFmtId="0" fontId="3" fillId="0" borderId="10" xfId="0" applyFont="1" applyBorder="1"/>
    <xf numFmtId="176" fontId="3" fillId="0" borderId="0" xfId="0" applyNumberFormat="1" applyFont="1"/>
    <xf numFmtId="176" fontId="3" fillId="0" borderId="10" xfId="0" applyNumberFormat="1" applyFont="1" applyBorder="1"/>
    <xf numFmtId="181" fontId="3" fillId="0" borderId="0" xfId="0" applyNumberFormat="1" applyFont="1"/>
    <xf numFmtId="0" fontId="11" fillId="11" borderId="7" xfId="0" applyFont="1" applyFill="1" applyBorder="1" applyAlignment="1">
      <alignment horizontal="center" vertical="center"/>
    </xf>
    <xf numFmtId="176" fontId="14" fillId="11" borderId="7" xfId="0" applyNumberFormat="1" applyFont="1" applyFill="1" applyBorder="1" applyAlignment="1">
      <alignment horizontal="center" vertical="center"/>
    </xf>
    <xf numFmtId="0" fontId="11" fillId="11" borderId="8" xfId="0" applyFont="1" applyFill="1" applyBorder="1" applyAlignment="1">
      <alignment horizontal="center" vertical="center"/>
    </xf>
    <xf numFmtId="181" fontId="11" fillId="11" borderId="8" xfId="0" applyNumberFormat="1" applyFont="1" applyFill="1" applyBorder="1" applyAlignment="1">
      <alignment horizontal="center" vertical="center"/>
    </xf>
    <xf numFmtId="0" fontId="11" fillId="11" borderId="5" xfId="0" applyFont="1" applyFill="1" applyBorder="1" applyAlignment="1">
      <alignment vertical="center" wrapText="1"/>
    </xf>
    <xf numFmtId="0" fontId="11" fillId="11" borderId="8" xfId="0" applyFont="1" applyFill="1" applyBorder="1" applyAlignment="1">
      <alignment vertical="center" wrapText="1"/>
    </xf>
    <xf numFmtId="0" fontId="12" fillId="11" borderId="5" xfId="0" applyFont="1" applyFill="1" applyBorder="1" applyAlignment="1">
      <alignment vertical="center" wrapText="1"/>
    </xf>
    <xf numFmtId="0" fontId="12" fillId="11" borderId="8" xfId="0" applyFont="1" applyFill="1" applyBorder="1" applyAlignment="1">
      <alignment vertical="center" wrapText="1"/>
    </xf>
    <xf numFmtId="0" fontId="12" fillId="11" borderId="5" xfId="0" applyFont="1" applyFill="1" applyBorder="1" applyAlignment="1">
      <alignment horizontal="center" vertical="center" wrapText="1"/>
    </xf>
    <xf numFmtId="0" fontId="12" fillId="11" borderId="8" xfId="0" applyFont="1" applyFill="1" applyBorder="1" applyAlignment="1">
      <alignment horizontal="center" vertical="center" wrapText="1"/>
    </xf>
    <xf numFmtId="176" fontId="13" fillId="11" borderId="8" xfId="0" applyNumberFormat="1" applyFont="1" applyFill="1" applyBorder="1" applyAlignment="1">
      <alignment vertical="center" wrapText="1"/>
    </xf>
    <xf numFmtId="0" fontId="11" fillId="8" borderId="7" xfId="0" applyFont="1" applyFill="1" applyBorder="1" applyAlignment="1">
      <alignment horizontal="center" vertical="center"/>
    </xf>
    <xf numFmtId="176" fontId="14" fillId="8" borderId="7" xfId="0" applyNumberFormat="1" applyFont="1" applyFill="1" applyBorder="1" applyAlignment="1">
      <alignment horizontal="center" vertical="center"/>
    </xf>
    <xf numFmtId="176" fontId="12" fillId="8" borderId="7" xfId="0" applyNumberFormat="1" applyFont="1" applyFill="1" applyBorder="1" applyAlignment="1">
      <alignment horizontal="center" vertical="center"/>
    </xf>
    <xf numFmtId="180" fontId="11" fillId="8" borderId="7" xfId="0" applyNumberFormat="1" applyFont="1" applyFill="1" applyBorder="1" applyAlignment="1">
      <alignment horizontal="center" vertical="center"/>
    </xf>
    <xf numFmtId="181" fontId="12" fillId="8" borderId="7" xfId="0" applyNumberFormat="1" applyFont="1" applyFill="1" applyBorder="1" applyAlignment="1">
      <alignment horizontal="center" vertical="center"/>
    </xf>
    <xf numFmtId="0" fontId="11" fillId="12" borderId="8" xfId="0" applyFont="1" applyFill="1" applyBorder="1" applyAlignment="1">
      <alignment vertical="center" wrapText="1"/>
    </xf>
    <xf numFmtId="176" fontId="13" fillId="12" borderId="8" xfId="0" applyNumberFormat="1" applyFont="1" applyFill="1" applyBorder="1" applyAlignment="1">
      <alignment horizontal="center" vertical="center" wrapText="1"/>
    </xf>
    <xf numFmtId="180" fontId="11" fillId="12" borderId="8" xfId="0" applyNumberFormat="1" applyFont="1" applyFill="1" applyBorder="1" applyAlignment="1">
      <alignment vertical="center" wrapText="1"/>
    </xf>
    <xf numFmtId="0" fontId="12" fillId="12" borderId="8" xfId="0" applyFont="1" applyFill="1" applyBorder="1" applyAlignment="1">
      <alignment vertical="center" wrapText="1"/>
    </xf>
    <xf numFmtId="180" fontId="12" fillId="12" borderId="8" xfId="0" applyNumberFormat="1" applyFont="1" applyFill="1" applyBorder="1" applyAlignment="1">
      <alignment vertical="center" wrapText="1"/>
    </xf>
    <xf numFmtId="0" fontId="12" fillId="12" borderId="5" xfId="0" applyFont="1" applyFill="1" applyBorder="1" applyAlignment="1">
      <alignment vertical="center" wrapText="1"/>
    </xf>
    <xf numFmtId="180" fontId="12" fillId="12" borderId="5" xfId="0" applyNumberFormat="1" applyFont="1" applyFill="1" applyBorder="1" applyAlignment="1">
      <alignment vertical="center" wrapText="1"/>
    </xf>
    <xf numFmtId="0" fontId="11" fillId="12" borderId="5" xfId="0" applyFont="1" applyFill="1" applyBorder="1" applyAlignment="1">
      <alignment horizontal="center" vertical="center" wrapText="1"/>
    </xf>
    <xf numFmtId="176" fontId="13" fillId="12" borderId="8" xfId="0" applyNumberFormat="1" applyFont="1" applyFill="1" applyBorder="1" applyAlignment="1">
      <alignment vertical="center" wrapText="1"/>
    </xf>
    <xf numFmtId="180" fontId="11" fillId="12" borderId="5" xfId="0" applyNumberFormat="1" applyFont="1" applyFill="1" applyBorder="1" applyAlignment="1">
      <alignment horizontal="center" vertical="center" wrapText="1"/>
    </xf>
    <xf numFmtId="0" fontId="11" fillId="12" borderId="5" xfId="0" applyFont="1" applyFill="1" applyBorder="1" applyAlignment="1">
      <alignment vertical="center" wrapText="1"/>
    </xf>
    <xf numFmtId="180" fontId="11" fillId="12" borderId="5" xfId="0" applyNumberFormat="1" applyFont="1" applyFill="1" applyBorder="1" applyAlignment="1">
      <alignment vertical="center" wrapText="1"/>
    </xf>
    <xf numFmtId="0" fontId="11" fillId="12" borderId="8" xfId="0" applyFont="1" applyFill="1" applyBorder="1" applyAlignment="1">
      <alignment horizontal="center" vertical="center" wrapText="1"/>
    </xf>
    <xf numFmtId="180" fontId="11" fillId="12" borderId="8" xfId="0" applyNumberFormat="1" applyFont="1" applyFill="1" applyBorder="1" applyAlignment="1">
      <alignment horizontal="center" vertical="center" wrapText="1"/>
    </xf>
    <xf numFmtId="0" fontId="11" fillId="12" borderId="11" xfId="0" applyFont="1" applyFill="1" applyBorder="1" applyAlignment="1">
      <alignment horizontal="center" vertical="center" wrapText="1"/>
    </xf>
    <xf numFmtId="180" fontId="11" fillId="12" borderId="11" xfId="0" applyNumberFormat="1" applyFont="1" applyFill="1" applyBorder="1" applyAlignment="1">
      <alignment horizontal="center" vertical="center" wrapText="1"/>
    </xf>
    <xf numFmtId="0" fontId="3" fillId="0" borderId="12" xfId="0" applyFont="1" applyBorder="1"/>
    <xf numFmtId="176" fontId="4" fillId="0" borderId="10" xfId="0" applyNumberFormat="1" applyFont="1" applyBorder="1"/>
    <xf numFmtId="181" fontId="4" fillId="0" borderId="0" xfId="0" applyNumberFormat="1" applyFont="1"/>
    <xf numFmtId="0" fontId="11" fillId="12" borderId="13" xfId="0" applyFont="1" applyFill="1" applyBorder="1" applyAlignment="1">
      <alignment horizontal="center" vertical="center" wrapText="1"/>
    </xf>
    <xf numFmtId="49" fontId="14" fillId="13" borderId="13" xfId="0" applyNumberFormat="1" applyFont="1" applyFill="1" applyBorder="1" applyAlignment="1">
      <alignment horizontal="center" vertical="center" wrapText="1"/>
    </xf>
    <xf numFmtId="49" fontId="12" fillId="13" borderId="13" xfId="0" applyNumberFormat="1" applyFont="1" applyFill="1" applyBorder="1" applyAlignment="1">
      <alignment horizontal="center" vertical="center" wrapText="1"/>
    </xf>
    <xf numFmtId="0" fontId="11" fillId="8" borderId="8" xfId="0" applyFont="1" applyFill="1" applyBorder="1" applyAlignment="1">
      <alignment horizontal="left" vertical="center"/>
    </xf>
    <xf numFmtId="0" fontId="12" fillId="14" borderId="8" xfId="0" applyFont="1" applyFill="1" applyBorder="1" applyAlignment="1">
      <alignment horizontal="center" vertical="center" wrapText="1"/>
    </xf>
    <xf numFmtId="0" fontId="12" fillId="0" borderId="0" xfId="0" applyFont="1" applyAlignment="1">
      <alignment vertical="center"/>
    </xf>
    <xf numFmtId="0" fontId="12" fillId="0" borderId="10" xfId="0" applyFont="1" applyBorder="1" applyAlignment="1">
      <alignment vertical="center"/>
    </xf>
    <xf numFmtId="0" fontId="12" fillId="0" borderId="0" xfId="0" applyFont="1" applyAlignment="1">
      <alignment horizontal="center" vertical="center"/>
    </xf>
    <xf numFmtId="0" fontId="16" fillId="0" borderId="0" xfId="0" applyFont="1"/>
    <xf numFmtId="182" fontId="12" fillId="0" borderId="0" xfId="0" applyNumberFormat="1" applyFont="1" applyAlignment="1">
      <alignment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千位分隔 2" xfId="49"/>
    <cellStyle name="常规 2" xfId="50"/>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5E0B4"/>
      <rgbColor rgb="00808080"/>
      <rgbColor rgb="009999FF"/>
      <rgbColor rgb="00993366"/>
      <rgbColor rgb="00FFFFCC"/>
      <rgbColor rgb="00DAEEF3"/>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DEEBF7"/>
      <rgbColor rgb="00DBDBDB"/>
      <rgbColor rgb="00FFE699"/>
      <rgbColor rgb="0099CCFF"/>
      <rgbColor rgb="00FF99CC"/>
      <rgbColor rgb="00CC99FF"/>
      <rgbColor rgb="00F8CBAD"/>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98"/>
  <sheetViews>
    <sheetView zoomScale="89" zoomScaleNormal="89" workbookViewId="0">
      <selection activeCell="A4" sqref="A4"/>
    </sheetView>
  </sheetViews>
  <sheetFormatPr defaultColWidth="9.07352941176471" defaultRowHeight="15" customHeight="1"/>
  <cols>
    <col min="1" max="1" width="26.8014705882353" style="31" customWidth="1"/>
    <col min="2" max="2" width="43" style="31" customWidth="1"/>
    <col min="3" max="3" width="36.7867647058824" style="31" customWidth="1"/>
    <col min="4" max="4" width="33.7867647058824" style="31" customWidth="1"/>
    <col min="5" max="5" width="16.5294117647059" style="31" customWidth="1"/>
    <col min="6" max="6" width="11.3308823529412" style="31" customWidth="1"/>
    <col min="9" max="9" width="10" style="31" customWidth="1"/>
  </cols>
  <sheetData>
    <row r="1" ht="19.5" customHeight="1" spans="1:9">
      <c r="A1" s="104" t="s">
        <v>0</v>
      </c>
      <c r="B1" s="105" t="s">
        <v>1</v>
      </c>
      <c r="C1" s="105" t="s">
        <v>2</v>
      </c>
      <c r="D1" s="106" t="s">
        <v>2</v>
      </c>
      <c r="E1" s="106" t="s">
        <v>2</v>
      </c>
      <c r="F1" s="39"/>
      <c r="I1" s="3"/>
    </row>
    <row r="2" ht="13.5" customHeight="1" spans="1:9">
      <c r="A2" s="107" t="s">
        <v>3</v>
      </c>
      <c r="B2" s="108"/>
      <c r="C2" s="108"/>
      <c r="D2" s="108"/>
      <c r="E2" s="108"/>
      <c r="F2" s="39"/>
      <c r="I2" s="3"/>
    </row>
    <row r="3" ht="16.5" customHeight="1" spans="1:9">
      <c r="A3" s="107" t="s">
        <v>4</v>
      </c>
      <c r="B3" s="108"/>
      <c r="C3" s="108"/>
      <c r="D3" s="108"/>
      <c r="E3" s="108"/>
      <c r="F3" s="39"/>
      <c r="I3" s="3"/>
    </row>
    <row r="4" ht="13.5" customHeight="1" spans="1:9">
      <c r="A4" s="107" t="s">
        <v>5</v>
      </c>
      <c r="B4" s="108"/>
      <c r="C4" s="108"/>
      <c r="D4" s="108"/>
      <c r="E4" s="108"/>
      <c r="F4" s="39"/>
      <c r="I4" s="3"/>
    </row>
    <row r="5" ht="13.5" customHeight="1" spans="1:9">
      <c r="A5" s="109"/>
      <c r="B5" s="110"/>
      <c r="C5" s="110"/>
      <c r="D5" s="110"/>
      <c r="E5" s="110"/>
      <c r="F5" s="3"/>
      <c r="I5" s="3"/>
    </row>
    <row r="6" ht="13.5" customHeight="1" spans="1:9">
      <c r="A6" s="109"/>
      <c r="B6" s="109"/>
      <c r="C6" s="109"/>
      <c r="D6" s="109"/>
      <c r="E6" s="109"/>
      <c r="F6" s="3"/>
      <c r="I6" s="3"/>
    </row>
    <row r="7" ht="13.5" customHeight="1" spans="1:9">
      <c r="A7" s="109"/>
      <c r="B7" s="111"/>
      <c r="F7" s="3"/>
      <c r="I7" s="3"/>
    </row>
    <row r="8" ht="13.5" customHeight="1" spans="1:9">
      <c r="A8" s="109"/>
      <c r="B8" s="112"/>
      <c r="C8" s="109"/>
      <c r="D8" s="109"/>
      <c r="E8" s="109"/>
      <c r="F8" s="3"/>
      <c r="I8" s="3"/>
    </row>
    <row r="9" ht="13.5" customHeight="1" spans="1:9">
      <c r="A9" s="109"/>
      <c r="B9" s="109"/>
      <c r="C9" s="109"/>
      <c r="D9" s="109"/>
      <c r="E9" s="109"/>
      <c r="F9" s="3"/>
      <c r="I9" s="113"/>
    </row>
    <row r="10" ht="13.5" customHeight="1" spans="1:9">
      <c r="A10" s="109"/>
      <c r="B10" s="111"/>
      <c r="F10" s="3"/>
      <c r="I10" s="3"/>
    </row>
    <row r="11" ht="13.5" customHeight="1" spans="1:9">
      <c r="A11" s="109"/>
      <c r="B11" s="109"/>
      <c r="C11" s="109"/>
      <c r="D11" s="109"/>
      <c r="E11" s="109"/>
      <c r="F11" s="3"/>
      <c r="I11" s="3"/>
    </row>
    <row r="12" ht="13.5" customHeight="1" spans="1:9">
      <c r="A12" s="109"/>
      <c r="B12" s="109"/>
      <c r="C12" s="109"/>
      <c r="D12" s="109"/>
      <c r="E12" s="109"/>
      <c r="F12" s="3"/>
      <c r="I12" s="3"/>
    </row>
    <row r="13" ht="13.5" customHeight="1" spans="1:9">
      <c r="A13" s="109"/>
      <c r="B13" s="109"/>
      <c r="C13" s="109"/>
      <c r="D13" s="109"/>
      <c r="E13" s="109"/>
      <c r="F13" s="3"/>
      <c r="I13" s="3"/>
    </row>
    <row r="14" ht="13.5" customHeight="1" spans="1:9">
      <c r="A14" s="109"/>
      <c r="B14" s="109"/>
      <c r="C14" s="109"/>
      <c r="D14" s="109"/>
      <c r="E14" s="109"/>
      <c r="F14" s="3"/>
      <c r="I14" s="3"/>
    </row>
    <row r="15" ht="13.5" customHeight="1" spans="1:9">
      <c r="A15" s="109"/>
      <c r="B15" s="109"/>
      <c r="C15" s="109"/>
      <c r="D15" s="109"/>
      <c r="E15" s="109"/>
      <c r="F15" s="3"/>
      <c r="I15" s="3"/>
    </row>
    <row r="16" ht="13.5" customHeight="1" spans="1:9">
      <c r="A16" s="109"/>
      <c r="B16" s="109"/>
      <c r="C16" s="109"/>
      <c r="D16" s="109"/>
      <c r="E16" s="109"/>
      <c r="F16" s="3"/>
      <c r="I16" s="3"/>
    </row>
    <row r="17" ht="13.5" customHeight="1" spans="1:9">
      <c r="A17" s="109"/>
      <c r="B17" s="109"/>
      <c r="C17" s="109"/>
      <c r="D17" s="109"/>
      <c r="E17" s="109"/>
      <c r="F17" s="3"/>
      <c r="I17" s="3"/>
    </row>
    <row r="18" ht="13.5" customHeight="1" spans="1:9">
      <c r="A18" s="109"/>
      <c r="B18" s="109"/>
      <c r="C18" s="109"/>
      <c r="D18" s="109"/>
      <c r="E18" s="109"/>
      <c r="F18" s="3"/>
      <c r="I18" s="3"/>
    </row>
    <row r="19" ht="13.5" customHeight="1" spans="1:9">
      <c r="A19" s="109"/>
      <c r="B19" s="109"/>
      <c r="C19" s="109"/>
      <c r="D19" s="109"/>
      <c r="E19" s="109"/>
      <c r="F19" s="3"/>
      <c r="I19" s="3"/>
    </row>
    <row r="20" ht="13.5" customHeight="1" spans="1:9">
      <c r="A20" s="109"/>
      <c r="B20" s="109"/>
      <c r="C20" s="109"/>
      <c r="D20" s="109"/>
      <c r="E20" s="109"/>
      <c r="F20" s="3"/>
      <c r="I20" s="3"/>
    </row>
    <row r="21" ht="13.5" customHeight="1" spans="1:9">
      <c r="A21" s="109"/>
      <c r="B21" s="109"/>
      <c r="C21" s="109"/>
      <c r="D21" s="109"/>
      <c r="E21" s="109"/>
      <c r="F21" s="3"/>
      <c r="I21" s="3"/>
    </row>
    <row r="22" ht="13.5" customHeight="1" spans="1:9">
      <c r="A22" s="109"/>
      <c r="B22" s="109"/>
      <c r="C22" s="109"/>
      <c r="D22" s="109"/>
      <c r="E22" s="109"/>
      <c r="F22" s="3"/>
      <c r="I22" s="3"/>
    </row>
    <row r="23" ht="13.5" customHeight="1" spans="1:9">
      <c r="A23" s="109"/>
      <c r="B23" s="109"/>
      <c r="C23" s="109"/>
      <c r="D23" s="109"/>
      <c r="E23" s="109"/>
      <c r="F23" s="3"/>
      <c r="I23" s="3"/>
    </row>
    <row r="24" ht="13.5" customHeight="1" spans="1:9">
      <c r="A24" s="109"/>
      <c r="B24" s="109"/>
      <c r="C24" s="109"/>
      <c r="D24" s="109"/>
      <c r="E24" s="109"/>
      <c r="F24" s="3"/>
      <c r="I24" s="3"/>
    </row>
    <row r="25" ht="13.5" customHeight="1" spans="1:9">
      <c r="A25" s="109"/>
      <c r="B25" s="109"/>
      <c r="C25" s="109"/>
      <c r="D25" s="109"/>
      <c r="E25" s="109"/>
      <c r="F25" s="3"/>
      <c r="I25" s="3"/>
    </row>
    <row r="26" ht="13.5" customHeight="1" spans="1:9">
      <c r="A26" s="109"/>
      <c r="B26" s="109"/>
      <c r="C26" s="109"/>
      <c r="D26" s="109"/>
      <c r="E26" s="109"/>
      <c r="F26" s="3"/>
      <c r="I26" s="3"/>
    </row>
    <row r="27" ht="13.5" customHeight="1" spans="1:9">
      <c r="A27" s="109"/>
      <c r="B27" s="109"/>
      <c r="C27" s="109"/>
      <c r="D27" s="109"/>
      <c r="E27" s="109"/>
      <c r="F27" s="3"/>
      <c r="I27" s="3"/>
    </row>
    <row r="28" ht="13.5" customHeight="1" spans="1:9">
      <c r="A28" s="109"/>
      <c r="B28" s="109"/>
      <c r="C28" s="109"/>
      <c r="D28" s="109"/>
      <c r="E28" s="109"/>
      <c r="F28" s="3"/>
      <c r="I28" s="3"/>
    </row>
    <row r="29" ht="13.5" customHeight="1" spans="1:9">
      <c r="A29" s="109"/>
      <c r="B29" s="109"/>
      <c r="C29" s="109"/>
      <c r="D29" s="109"/>
      <c r="E29" s="109"/>
      <c r="F29" s="3"/>
      <c r="I29" s="3"/>
    </row>
    <row r="30" ht="13.5" customHeight="1" spans="1:9">
      <c r="A30" s="109"/>
      <c r="B30" s="109"/>
      <c r="C30" s="109"/>
      <c r="D30" s="109"/>
      <c r="E30" s="109"/>
      <c r="F30" s="3"/>
      <c r="I30" s="3"/>
    </row>
    <row r="31" ht="13.5" customHeight="1" spans="1:9">
      <c r="A31" s="109"/>
      <c r="B31" s="109"/>
      <c r="C31" s="109"/>
      <c r="D31" s="109"/>
      <c r="E31" s="109"/>
      <c r="F31" s="3"/>
      <c r="I31" s="3"/>
    </row>
    <row r="32" ht="13.5" customHeight="1" spans="1:9">
      <c r="A32" s="3"/>
      <c r="B32" s="3"/>
      <c r="C32" s="3"/>
      <c r="D32" s="3"/>
      <c r="E32" s="3"/>
      <c r="F32" s="3"/>
      <c r="I32" s="3"/>
    </row>
    <row r="33" ht="13.5" customHeight="1" spans="1:9">
      <c r="A33" s="3"/>
      <c r="B33" s="3"/>
      <c r="C33" s="3"/>
      <c r="D33" s="3"/>
      <c r="E33" s="3"/>
      <c r="F33" s="3"/>
      <c r="I33" s="3"/>
    </row>
    <row r="34" ht="13.5" customHeight="1" spans="1:9">
      <c r="A34" s="3"/>
      <c r="B34" s="3"/>
      <c r="C34" s="3"/>
      <c r="D34" s="3"/>
      <c r="E34" s="3"/>
      <c r="F34" s="3"/>
      <c r="I34" s="3"/>
    </row>
    <row r="35" ht="13.5" customHeight="1" spans="1:9">
      <c r="A35" s="3"/>
      <c r="B35" s="3"/>
      <c r="C35" s="3"/>
      <c r="D35" s="3"/>
      <c r="E35" s="3"/>
      <c r="F35" s="3"/>
      <c r="I35" s="3"/>
    </row>
    <row r="36" ht="13.5" customHeight="1" spans="1:9">
      <c r="A36" s="3"/>
      <c r="B36" s="3"/>
      <c r="C36" s="3"/>
      <c r="D36" s="3"/>
      <c r="E36" s="3"/>
      <c r="F36" s="3"/>
      <c r="I36" s="3"/>
    </row>
    <row r="37" ht="13.5" customHeight="1" spans="1:9">
      <c r="A37" s="3"/>
      <c r="B37" s="3"/>
      <c r="C37" s="3"/>
      <c r="D37" s="3"/>
      <c r="E37" s="3"/>
      <c r="F37" s="3"/>
      <c r="I37" s="3"/>
    </row>
    <row r="38" ht="13.5" customHeight="1" spans="1:9">
      <c r="A38" s="3"/>
      <c r="B38" s="3"/>
      <c r="C38" s="3"/>
      <c r="D38" s="3"/>
      <c r="E38" s="3"/>
      <c r="F38" s="3"/>
      <c r="I38" s="3"/>
    </row>
    <row r="39" ht="13.5" customHeight="1" spans="1:9">
      <c r="A39" s="3"/>
      <c r="B39" s="3"/>
      <c r="C39" s="3"/>
      <c r="D39" s="3"/>
      <c r="E39" s="3"/>
      <c r="F39" s="3"/>
      <c r="I39" s="3"/>
    </row>
    <row r="40" ht="13.5" customHeight="1" spans="1:9">
      <c r="A40" s="3"/>
      <c r="B40" s="3"/>
      <c r="C40" s="3"/>
      <c r="D40" s="3"/>
      <c r="E40" s="3"/>
      <c r="F40" s="3"/>
      <c r="I40" s="3"/>
    </row>
    <row r="41" ht="13.5" customHeight="1" spans="1:9">
      <c r="A41" s="3"/>
      <c r="B41" s="3"/>
      <c r="C41" s="3"/>
      <c r="D41" s="3"/>
      <c r="E41" s="3"/>
      <c r="F41" s="3"/>
      <c r="I41" s="3"/>
    </row>
    <row r="42" ht="13.5" customHeight="1" spans="1:9">
      <c r="A42" s="3"/>
      <c r="B42" s="3"/>
      <c r="C42" s="3"/>
      <c r="D42" s="3"/>
      <c r="E42" s="3"/>
      <c r="F42" s="3"/>
      <c r="I42" s="3"/>
    </row>
    <row r="43" ht="13.5" customHeight="1" spans="1:9">
      <c r="A43" s="3"/>
      <c r="B43" s="3"/>
      <c r="C43" s="3"/>
      <c r="D43" s="3"/>
      <c r="E43" s="3"/>
      <c r="F43" s="3"/>
      <c r="I43" s="3"/>
    </row>
    <row r="44" ht="13.5" customHeight="1" spans="1:9">
      <c r="A44" s="3"/>
      <c r="B44" s="3"/>
      <c r="C44" s="3"/>
      <c r="D44" s="3"/>
      <c r="E44" s="3"/>
      <c r="F44" s="3"/>
      <c r="I44" s="3"/>
    </row>
    <row r="45" ht="13.5" customHeight="1" spans="1:9">
      <c r="A45" s="3"/>
      <c r="B45" s="3"/>
      <c r="C45" s="3"/>
      <c r="D45" s="3"/>
      <c r="E45" s="3"/>
      <c r="F45" s="3"/>
      <c r="I45" s="3"/>
    </row>
    <row r="46" ht="13.5" customHeight="1" spans="1:9">
      <c r="A46" s="3"/>
      <c r="B46" s="3"/>
      <c r="C46" s="3"/>
      <c r="D46" s="3"/>
      <c r="E46" s="3"/>
      <c r="F46" s="3"/>
      <c r="I46" s="3"/>
    </row>
    <row r="47" ht="13.5" customHeight="1" spans="1:9">
      <c r="A47" s="3"/>
      <c r="B47" s="3"/>
      <c r="C47" s="3"/>
      <c r="D47" s="3"/>
      <c r="E47" s="3"/>
      <c r="F47" s="3"/>
      <c r="I47" s="3"/>
    </row>
    <row r="48" ht="13.5" customHeight="1" spans="1:9">
      <c r="A48" s="3"/>
      <c r="B48" s="3"/>
      <c r="C48" s="3"/>
      <c r="D48" s="3"/>
      <c r="E48" s="3"/>
      <c r="F48" s="3"/>
      <c r="I48" s="3"/>
    </row>
    <row r="49" ht="13.5" customHeight="1" spans="1:9">
      <c r="A49" s="3"/>
      <c r="B49" s="3"/>
      <c r="C49" s="3"/>
      <c r="D49" s="3"/>
      <c r="E49" s="3"/>
      <c r="F49" s="3"/>
      <c r="I49" s="3"/>
    </row>
    <row r="50" ht="13.5" customHeight="1" spans="1:9">
      <c r="A50" s="3"/>
      <c r="B50" s="3"/>
      <c r="C50" s="3"/>
      <c r="D50" s="3"/>
      <c r="E50" s="3"/>
      <c r="F50" s="3"/>
      <c r="I50" s="3"/>
    </row>
    <row r="51" ht="13.5" customHeight="1" spans="1:9">
      <c r="A51" s="3"/>
      <c r="B51" s="3"/>
      <c r="C51" s="3"/>
      <c r="D51" s="3"/>
      <c r="E51" s="3"/>
      <c r="F51" s="3"/>
      <c r="I51" s="3"/>
    </row>
    <row r="52" ht="13.5" customHeight="1" spans="1:9">
      <c r="A52" s="3"/>
      <c r="B52" s="3"/>
      <c r="C52" s="3"/>
      <c r="D52" s="3"/>
      <c r="E52" s="3"/>
      <c r="F52" s="3"/>
      <c r="I52" s="3"/>
    </row>
    <row r="53" ht="13.5" customHeight="1" spans="1:9">
      <c r="A53" s="3"/>
      <c r="B53" s="3"/>
      <c r="C53" s="3"/>
      <c r="D53" s="3"/>
      <c r="E53" s="3"/>
      <c r="F53" s="3"/>
      <c r="I53" s="3"/>
    </row>
    <row r="54" ht="13.5" customHeight="1" spans="1:9">
      <c r="A54" s="3"/>
      <c r="B54" s="3"/>
      <c r="C54" s="3"/>
      <c r="D54" s="3"/>
      <c r="E54" s="3"/>
      <c r="F54" s="3"/>
      <c r="I54" s="3"/>
    </row>
    <row r="55" ht="13.5" customHeight="1" spans="1:9">
      <c r="A55" s="3"/>
      <c r="B55" s="3"/>
      <c r="C55" s="3"/>
      <c r="D55" s="3"/>
      <c r="E55" s="3"/>
      <c r="F55" s="3"/>
      <c r="I55" s="3"/>
    </row>
    <row r="56" ht="13.5" customHeight="1" spans="1:9">
      <c r="A56" s="3"/>
      <c r="B56" s="3"/>
      <c r="C56" s="3"/>
      <c r="D56" s="3"/>
      <c r="E56" s="3"/>
      <c r="F56" s="3"/>
      <c r="I56" s="3"/>
    </row>
    <row r="57" ht="13.5" customHeight="1" spans="1:9">
      <c r="A57" s="3"/>
      <c r="B57" s="3"/>
      <c r="C57" s="3"/>
      <c r="D57" s="3"/>
      <c r="E57" s="3"/>
      <c r="F57" s="3"/>
      <c r="I57" s="3"/>
    </row>
    <row r="58" ht="13.5" customHeight="1" spans="1:9">
      <c r="A58" s="3"/>
      <c r="B58" s="3"/>
      <c r="C58" s="3"/>
      <c r="D58" s="3"/>
      <c r="E58" s="3"/>
      <c r="F58" s="3"/>
      <c r="I58" s="3"/>
    </row>
    <row r="59" ht="13.5" customHeight="1" spans="1:9">
      <c r="A59" s="3"/>
      <c r="B59" s="3"/>
      <c r="C59" s="3"/>
      <c r="D59" s="3"/>
      <c r="E59" s="3"/>
      <c r="F59" s="3"/>
      <c r="I59" s="3"/>
    </row>
    <row r="60" ht="13.5" customHeight="1" spans="1:9">
      <c r="A60" s="3"/>
      <c r="B60" s="3"/>
      <c r="C60" s="3"/>
      <c r="D60" s="3"/>
      <c r="E60" s="3"/>
      <c r="F60" s="3"/>
      <c r="I60" s="3"/>
    </row>
    <row r="61" ht="13.5" customHeight="1" spans="1:9">
      <c r="A61" s="3"/>
      <c r="B61" s="3"/>
      <c r="C61" s="3"/>
      <c r="D61" s="3"/>
      <c r="E61" s="3"/>
      <c r="F61" s="3"/>
      <c r="I61" s="3"/>
    </row>
    <row r="62" ht="13.5" customHeight="1" spans="1:9">
      <c r="A62" s="3"/>
      <c r="B62" s="3"/>
      <c r="C62" s="3"/>
      <c r="D62" s="3"/>
      <c r="E62" s="3"/>
      <c r="F62" s="3"/>
      <c r="I62" s="3"/>
    </row>
    <row r="63" ht="13.5" customHeight="1" spans="1:9">
      <c r="A63" s="3"/>
      <c r="B63" s="3"/>
      <c r="C63" s="3"/>
      <c r="D63" s="3"/>
      <c r="E63" s="3"/>
      <c r="F63" s="3"/>
      <c r="I63" s="3"/>
    </row>
    <row r="64" ht="13.5" customHeight="1" spans="1:9">
      <c r="A64" s="3"/>
      <c r="B64" s="3"/>
      <c r="C64" s="3"/>
      <c r="D64" s="3"/>
      <c r="E64" s="3"/>
      <c r="F64" s="3"/>
      <c r="I64" s="3"/>
    </row>
    <row r="65" ht="13.5" customHeight="1" spans="1:9">
      <c r="A65" s="3"/>
      <c r="B65" s="3"/>
      <c r="C65" s="3"/>
      <c r="D65" s="3"/>
      <c r="E65" s="3"/>
      <c r="F65" s="3"/>
      <c r="I65" s="3"/>
    </row>
    <row r="66" ht="13.5" customHeight="1" spans="1:9">
      <c r="A66" s="3"/>
      <c r="B66" s="3"/>
      <c r="C66" s="3"/>
      <c r="D66" s="3"/>
      <c r="E66" s="3"/>
      <c r="F66" s="3"/>
      <c r="I66" s="3"/>
    </row>
    <row r="67" ht="13.5" customHeight="1" spans="1:9">
      <c r="A67" s="3"/>
      <c r="B67" s="3"/>
      <c r="C67" s="3"/>
      <c r="D67" s="3"/>
      <c r="E67" s="3"/>
      <c r="F67" s="3"/>
      <c r="I67" s="3"/>
    </row>
    <row r="68" ht="13.5" customHeight="1" spans="1:9">
      <c r="A68" s="3"/>
      <c r="B68" s="3"/>
      <c r="C68" s="3"/>
      <c r="D68" s="3"/>
      <c r="E68" s="3"/>
      <c r="F68" s="3"/>
      <c r="I68" s="3"/>
    </row>
    <row r="69" ht="13.5" customHeight="1" spans="1:9">
      <c r="A69" s="3"/>
      <c r="B69" s="3"/>
      <c r="C69" s="3"/>
      <c r="D69" s="3"/>
      <c r="E69" s="3"/>
      <c r="F69" s="3"/>
      <c r="I69" s="3"/>
    </row>
    <row r="70" ht="13.5" customHeight="1" spans="1:9">
      <c r="A70" s="3"/>
      <c r="B70" s="3"/>
      <c r="C70" s="3"/>
      <c r="D70" s="3"/>
      <c r="E70" s="3"/>
      <c r="F70" s="3"/>
      <c r="I70" s="3"/>
    </row>
    <row r="71" ht="13.5" customHeight="1" spans="1:9">
      <c r="A71" s="3"/>
      <c r="B71" s="3"/>
      <c r="C71" s="3"/>
      <c r="D71" s="3"/>
      <c r="E71" s="3"/>
      <c r="F71" s="3"/>
      <c r="I71" s="3"/>
    </row>
    <row r="72" ht="13.5" customHeight="1" spans="1:9">
      <c r="A72" s="3"/>
      <c r="B72" s="3"/>
      <c r="C72" s="3"/>
      <c r="D72" s="3"/>
      <c r="E72" s="3"/>
      <c r="F72" s="3"/>
      <c r="I72" s="3"/>
    </row>
    <row r="73" ht="13.5" customHeight="1" spans="1:9">
      <c r="A73" s="3"/>
      <c r="B73" s="3"/>
      <c r="C73" s="3"/>
      <c r="D73" s="3"/>
      <c r="E73" s="3"/>
      <c r="F73" s="3"/>
      <c r="I73" s="3"/>
    </row>
    <row r="74" ht="13.5" customHeight="1" spans="1:9">
      <c r="A74" s="3"/>
      <c r="B74" s="3"/>
      <c r="C74" s="3"/>
      <c r="D74" s="3"/>
      <c r="E74" s="3"/>
      <c r="F74" s="3"/>
      <c r="I74" s="3"/>
    </row>
    <row r="75" ht="13.5" customHeight="1" spans="1:9">
      <c r="A75" s="3"/>
      <c r="B75" s="3"/>
      <c r="C75" s="3"/>
      <c r="D75" s="3"/>
      <c r="E75" s="3"/>
      <c r="F75" s="3"/>
      <c r="I75" s="3"/>
    </row>
    <row r="76" ht="13.5" customHeight="1" spans="1:9">
      <c r="A76" s="3"/>
      <c r="B76" s="3"/>
      <c r="C76" s="3"/>
      <c r="D76" s="3"/>
      <c r="E76" s="3"/>
      <c r="F76" s="3"/>
      <c r="I76" s="3"/>
    </row>
    <row r="77" ht="13.5" customHeight="1" spans="1:9">
      <c r="A77" s="3"/>
      <c r="B77" s="3"/>
      <c r="C77" s="3"/>
      <c r="D77" s="3"/>
      <c r="E77" s="3"/>
      <c r="F77" s="3"/>
      <c r="I77" s="3"/>
    </row>
    <row r="78" ht="13.5" customHeight="1" spans="1:9">
      <c r="A78" s="3"/>
      <c r="B78" s="3"/>
      <c r="C78" s="3"/>
      <c r="D78" s="3"/>
      <c r="E78" s="3"/>
      <c r="F78" s="3"/>
      <c r="I78" s="3"/>
    </row>
    <row r="79" ht="13.5" customHeight="1" spans="1:9">
      <c r="A79" s="3"/>
      <c r="B79" s="3"/>
      <c r="C79" s="3"/>
      <c r="D79" s="3"/>
      <c r="E79" s="3"/>
      <c r="F79" s="3"/>
      <c r="I79" s="3"/>
    </row>
    <row r="80" ht="13.5" customHeight="1" spans="1:9">
      <c r="A80" s="3"/>
      <c r="B80" s="3"/>
      <c r="C80" s="3"/>
      <c r="D80" s="3"/>
      <c r="E80" s="3"/>
      <c r="F80" s="3"/>
      <c r="I80" s="3"/>
    </row>
    <row r="81" ht="13.5" customHeight="1" spans="1:9">
      <c r="A81" s="3"/>
      <c r="B81" s="3"/>
      <c r="C81" s="3"/>
      <c r="D81" s="3"/>
      <c r="E81" s="3"/>
      <c r="F81" s="3"/>
      <c r="I81" s="3"/>
    </row>
    <row r="82" ht="13.5" customHeight="1" spans="1:9">
      <c r="A82" s="3"/>
      <c r="B82" s="3"/>
      <c r="C82" s="3"/>
      <c r="D82" s="3"/>
      <c r="E82" s="3"/>
      <c r="F82" s="3"/>
      <c r="I82" s="3"/>
    </row>
    <row r="83" ht="13.5" customHeight="1" spans="1:9">
      <c r="A83" s="3"/>
      <c r="B83" s="3"/>
      <c r="C83" s="3"/>
      <c r="D83" s="3"/>
      <c r="E83" s="3"/>
      <c r="F83" s="3"/>
      <c r="I83" s="3"/>
    </row>
    <row r="84" ht="13.5" customHeight="1" spans="1:9">
      <c r="A84" s="3"/>
      <c r="B84" s="3"/>
      <c r="C84" s="3"/>
      <c r="D84" s="3"/>
      <c r="E84" s="3"/>
      <c r="F84" s="3"/>
      <c r="I84" s="3"/>
    </row>
    <row r="85" ht="13.5" customHeight="1" spans="1:9">
      <c r="A85" s="3"/>
      <c r="B85" s="3"/>
      <c r="C85" s="3"/>
      <c r="D85" s="3"/>
      <c r="E85" s="3"/>
      <c r="F85" s="3"/>
      <c r="I85" s="3"/>
    </row>
    <row r="86" ht="13.5" customHeight="1" spans="1:9">
      <c r="A86" s="3"/>
      <c r="B86" s="3"/>
      <c r="C86" s="3"/>
      <c r="D86" s="3"/>
      <c r="E86" s="3"/>
      <c r="F86" s="3"/>
      <c r="I86" s="3"/>
    </row>
    <row r="87" ht="13.5" customHeight="1" spans="1:9">
      <c r="A87" s="3"/>
      <c r="B87" s="3"/>
      <c r="C87" s="3"/>
      <c r="D87" s="3"/>
      <c r="E87" s="3"/>
      <c r="F87" s="3"/>
      <c r="I87" s="3"/>
    </row>
    <row r="88" ht="13.5" customHeight="1" spans="1:9">
      <c r="A88" s="3"/>
      <c r="B88" s="3"/>
      <c r="C88" s="3"/>
      <c r="D88" s="3"/>
      <c r="E88" s="3"/>
      <c r="F88" s="3"/>
      <c r="I88" s="3"/>
    </row>
    <row r="89" ht="13.5" customHeight="1" spans="1:9">
      <c r="A89" s="3"/>
      <c r="B89" s="3"/>
      <c r="C89" s="3"/>
      <c r="D89" s="3"/>
      <c r="E89" s="3"/>
      <c r="F89" s="3"/>
      <c r="I89" s="3"/>
    </row>
    <row r="90" ht="13.5" customHeight="1" spans="1:9">
      <c r="A90" s="3"/>
      <c r="B90" s="3"/>
      <c r="C90" s="3"/>
      <c r="D90" s="3"/>
      <c r="E90" s="3"/>
      <c r="F90" s="3"/>
      <c r="I90" s="3"/>
    </row>
    <row r="91" ht="13.5" customHeight="1" spans="1:9">
      <c r="A91" s="3"/>
      <c r="B91" s="3"/>
      <c r="C91" s="3"/>
      <c r="D91" s="3"/>
      <c r="E91" s="3"/>
      <c r="F91" s="3"/>
      <c r="I91" s="3"/>
    </row>
    <row r="92" ht="13.5" customHeight="1" spans="1:9">
      <c r="A92" s="3"/>
      <c r="B92" s="3"/>
      <c r="C92" s="3"/>
      <c r="D92" s="3"/>
      <c r="E92" s="3"/>
      <c r="F92" s="3"/>
      <c r="I92" s="3"/>
    </row>
    <row r="93" ht="13.5" customHeight="1" spans="1:9">
      <c r="A93" s="3"/>
      <c r="B93" s="3"/>
      <c r="C93" s="3"/>
      <c r="D93" s="3"/>
      <c r="E93" s="3"/>
      <c r="F93" s="3"/>
      <c r="I93" s="3"/>
    </row>
    <row r="94" ht="13.5" customHeight="1" spans="1:9">
      <c r="A94" s="3"/>
      <c r="B94" s="3"/>
      <c r="C94" s="3"/>
      <c r="D94" s="3"/>
      <c r="E94" s="3"/>
      <c r="F94" s="3"/>
      <c r="I94" s="3"/>
    </row>
    <row r="95" ht="13.5" customHeight="1" spans="1:9">
      <c r="A95" s="3"/>
      <c r="B95" s="3"/>
      <c r="C95" s="3"/>
      <c r="D95" s="3"/>
      <c r="E95" s="3"/>
      <c r="F95" s="3"/>
      <c r="I95" s="3"/>
    </row>
    <row r="96" ht="13.5" customHeight="1" spans="1:9">
      <c r="A96" s="3"/>
      <c r="B96" s="3"/>
      <c r="C96" s="3"/>
      <c r="D96" s="3"/>
      <c r="E96" s="3"/>
      <c r="F96" s="3"/>
      <c r="I96" s="3"/>
    </row>
    <row r="97" ht="13.5" customHeight="1" spans="1:9">
      <c r="A97" s="3"/>
      <c r="B97" s="3"/>
      <c r="C97" s="3"/>
      <c r="D97" s="3"/>
      <c r="E97" s="3"/>
      <c r="F97" s="3"/>
      <c r="I97" s="3"/>
    </row>
    <row r="98" ht="13.5" customHeight="1" spans="1:9">
      <c r="A98" s="3"/>
      <c r="B98" s="3"/>
      <c r="C98" s="3"/>
      <c r="D98" s="3"/>
      <c r="E98" s="3"/>
      <c r="F98" s="3"/>
      <c r="I98" s="3"/>
    </row>
    <row r="99" ht="13.5" customHeight="1" spans="1:9">
      <c r="A99" s="3"/>
      <c r="B99" s="3"/>
      <c r="C99" s="3"/>
      <c r="D99" s="3"/>
      <c r="E99" s="3"/>
      <c r="F99" s="3"/>
      <c r="I99" s="3"/>
    </row>
    <row r="100" ht="13.5" customHeight="1" spans="1:9">
      <c r="A100" s="3"/>
      <c r="B100" s="3"/>
      <c r="C100" s="3"/>
      <c r="D100" s="3"/>
      <c r="E100" s="3"/>
      <c r="F100" s="3"/>
      <c r="I100" s="3"/>
    </row>
    <row r="101" ht="13.5" customHeight="1" spans="1:9">
      <c r="A101" s="3"/>
      <c r="B101" s="3"/>
      <c r="C101" s="3"/>
      <c r="D101" s="3"/>
      <c r="E101" s="3"/>
      <c r="F101" s="3"/>
      <c r="I101" s="3"/>
    </row>
    <row r="102" ht="13.5" customHeight="1" spans="1:9">
      <c r="A102" s="3"/>
      <c r="B102" s="3"/>
      <c r="C102" s="3"/>
      <c r="D102" s="3"/>
      <c r="E102" s="3"/>
      <c r="F102" s="3"/>
      <c r="I102" s="3"/>
    </row>
    <row r="103" ht="13.5" customHeight="1" spans="1:9">
      <c r="A103" s="3"/>
      <c r="B103" s="3"/>
      <c r="C103" s="3"/>
      <c r="D103" s="3"/>
      <c r="E103" s="3"/>
      <c r="F103" s="3"/>
      <c r="I103" s="3"/>
    </row>
    <row r="104" ht="13.5" customHeight="1" spans="1:9">
      <c r="A104" s="3"/>
      <c r="B104" s="3"/>
      <c r="C104" s="3"/>
      <c r="D104" s="3"/>
      <c r="E104" s="3"/>
      <c r="F104" s="3"/>
      <c r="I104" s="3"/>
    </row>
    <row r="105" ht="13.5" customHeight="1" spans="1:9">
      <c r="A105" s="3"/>
      <c r="B105" s="3"/>
      <c r="C105" s="3"/>
      <c r="D105" s="3"/>
      <c r="E105" s="3"/>
      <c r="F105" s="3"/>
      <c r="I105" s="3"/>
    </row>
    <row r="106" ht="13.5" customHeight="1" spans="1:9">
      <c r="A106" s="3"/>
      <c r="B106" s="3"/>
      <c r="C106" s="3"/>
      <c r="D106" s="3"/>
      <c r="E106" s="3"/>
      <c r="F106" s="3"/>
      <c r="I106" s="3"/>
    </row>
    <row r="107" ht="13.5" customHeight="1" spans="1:9">
      <c r="A107" s="3"/>
      <c r="B107" s="3"/>
      <c r="C107" s="3"/>
      <c r="D107" s="3"/>
      <c r="E107" s="3"/>
      <c r="F107" s="3"/>
      <c r="I107" s="3"/>
    </row>
    <row r="108" ht="13.5" customHeight="1" spans="1:9">
      <c r="A108" s="3"/>
      <c r="B108" s="3"/>
      <c r="C108" s="3"/>
      <c r="D108" s="3"/>
      <c r="E108" s="3"/>
      <c r="F108" s="3"/>
      <c r="I108" s="3"/>
    </row>
    <row r="109" ht="13.5" customHeight="1" spans="1:9">
      <c r="A109" s="3"/>
      <c r="B109" s="3"/>
      <c r="C109" s="3"/>
      <c r="D109" s="3"/>
      <c r="E109" s="3"/>
      <c r="F109" s="3"/>
      <c r="I109" s="3"/>
    </row>
    <row r="110" ht="13.5" customHeight="1" spans="1:9">
      <c r="A110" s="3"/>
      <c r="B110" s="3"/>
      <c r="C110" s="3"/>
      <c r="D110" s="3"/>
      <c r="E110" s="3"/>
      <c r="F110" s="3"/>
      <c r="I110" s="3"/>
    </row>
    <row r="111" ht="13.5" customHeight="1" spans="1:9">
      <c r="A111" s="3"/>
      <c r="B111" s="3"/>
      <c r="C111" s="3"/>
      <c r="D111" s="3"/>
      <c r="E111" s="3"/>
      <c r="F111" s="3"/>
      <c r="I111" s="3"/>
    </row>
    <row r="112" ht="13.5" customHeight="1" spans="1:9">
      <c r="A112" s="3"/>
      <c r="B112" s="3"/>
      <c r="C112" s="3"/>
      <c r="D112" s="3"/>
      <c r="E112" s="3"/>
      <c r="F112" s="3"/>
      <c r="I112" s="3"/>
    </row>
    <row r="113" ht="13.5" customHeight="1" spans="1:9">
      <c r="A113" s="3"/>
      <c r="B113" s="3"/>
      <c r="C113" s="3"/>
      <c r="D113" s="3"/>
      <c r="E113" s="3"/>
      <c r="F113" s="3"/>
      <c r="I113" s="3"/>
    </row>
    <row r="114" ht="13.5" customHeight="1" spans="1:9">
      <c r="A114" s="3"/>
      <c r="B114" s="3"/>
      <c r="C114" s="3"/>
      <c r="D114" s="3"/>
      <c r="E114" s="3"/>
      <c r="F114" s="3"/>
      <c r="I114" s="3"/>
    </row>
    <row r="115" ht="13.5" customHeight="1" spans="1:9">
      <c r="A115" s="3"/>
      <c r="B115" s="3"/>
      <c r="C115" s="3"/>
      <c r="D115" s="3"/>
      <c r="E115" s="3"/>
      <c r="F115" s="3"/>
      <c r="I115" s="3"/>
    </row>
    <row r="116" ht="13.5" customHeight="1" spans="1:9">
      <c r="A116" s="3"/>
      <c r="B116" s="3"/>
      <c r="C116" s="3"/>
      <c r="D116" s="3"/>
      <c r="E116" s="3"/>
      <c r="F116" s="3"/>
      <c r="I116" s="3"/>
    </row>
    <row r="117" ht="13.5" customHeight="1" spans="1:9">
      <c r="A117" s="3"/>
      <c r="B117" s="3"/>
      <c r="C117" s="3"/>
      <c r="D117" s="3"/>
      <c r="E117" s="3"/>
      <c r="F117" s="3"/>
      <c r="I117" s="3"/>
    </row>
    <row r="118" ht="13.5" customHeight="1" spans="1:9">
      <c r="A118" s="3"/>
      <c r="B118" s="3"/>
      <c r="C118" s="3"/>
      <c r="D118" s="3"/>
      <c r="E118" s="3"/>
      <c r="F118" s="3"/>
      <c r="I118" s="3"/>
    </row>
    <row r="119" ht="13.5" customHeight="1" spans="1:9">
      <c r="A119" s="3"/>
      <c r="B119" s="3"/>
      <c r="C119" s="3"/>
      <c r="D119" s="3"/>
      <c r="E119" s="3"/>
      <c r="F119" s="3"/>
      <c r="I119" s="3"/>
    </row>
    <row r="120" ht="13.5" customHeight="1" spans="1:9">
      <c r="A120" s="3"/>
      <c r="B120" s="3"/>
      <c r="C120" s="3"/>
      <c r="D120" s="3"/>
      <c r="E120" s="3"/>
      <c r="F120" s="3"/>
      <c r="I120" s="3"/>
    </row>
    <row r="121" ht="13.5" customHeight="1" spans="1:9">
      <c r="A121" s="3"/>
      <c r="B121" s="3"/>
      <c r="C121" s="3"/>
      <c r="D121" s="3"/>
      <c r="E121" s="3"/>
      <c r="F121" s="3"/>
      <c r="I121" s="3"/>
    </row>
    <row r="122" ht="13.5" customHeight="1" spans="1:9">
      <c r="A122" s="3"/>
      <c r="B122" s="3"/>
      <c r="C122" s="3"/>
      <c r="D122" s="3"/>
      <c r="E122" s="3"/>
      <c r="F122" s="3"/>
      <c r="I122" s="3"/>
    </row>
    <row r="123" ht="13.5" customHeight="1" spans="1:9">
      <c r="A123" s="3"/>
      <c r="B123" s="3"/>
      <c r="C123" s="3"/>
      <c r="D123" s="3"/>
      <c r="E123" s="3"/>
      <c r="F123" s="3"/>
      <c r="I123" s="3"/>
    </row>
    <row r="124" ht="13.5" customHeight="1" spans="1:9">
      <c r="A124" s="3"/>
      <c r="B124" s="3"/>
      <c r="C124" s="3"/>
      <c r="D124" s="3"/>
      <c r="E124" s="3"/>
      <c r="F124" s="3"/>
      <c r="I124" s="3"/>
    </row>
    <row r="125" ht="13.5" customHeight="1" spans="1:9">
      <c r="A125" s="3"/>
      <c r="B125" s="3"/>
      <c r="C125" s="3"/>
      <c r="D125" s="3"/>
      <c r="E125" s="3"/>
      <c r="F125" s="3"/>
      <c r="I125" s="3"/>
    </row>
    <row r="126" ht="13.5" customHeight="1" spans="1:9">
      <c r="A126" s="3"/>
      <c r="B126" s="3"/>
      <c r="C126" s="3"/>
      <c r="D126" s="3"/>
      <c r="E126" s="3"/>
      <c r="F126" s="3"/>
      <c r="I126" s="3"/>
    </row>
    <row r="127" ht="13.5" customHeight="1" spans="1:9">
      <c r="A127" s="3"/>
      <c r="B127" s="3"/>
      <c r="C127" s="3"/>
      <c r="D127" s="3"/>
      <c r="E127" s="3"/>
      <c r="F127" s="3"/>
      <c r="I127" s="3"/>
    </row>
    <row r="128" ht="13.5" customHeight="1" spans="1:9">
      <c r="A128" s="3"/>
      <c r="B128" s="3"/>
      <c r="C128" s="3"/>
      <c r="D128" s="3"/>
      <c r="E128" s="3"/>
      <c r="F128" s="3"/>
      <c r="I128" s="3"/>
    </row>
    <row r="129" ht="13.5" customHeight="1" spans="1:9">
      <c r="A129" s="3"/>
      <c r="B129" s="3"/>
      <c r="C129" s="3"/>
      <c r="D129" s="3"/>
      <c r="E129" s="3"/>
      <c r="F129" s="3"/>
      <c r="I129" s="3"/>
    </row>
    <row r="130" ht="13.5" customHeight="1" spans="1:9">
      <c r="A130" s="3"/>
      <c r="B130" s="3"/>
      <c r="C130" s="3"/>
      <c r="D130" s="3"/>
      <c r="E130" s="3"/>
      <c r="F130" s="3"/>
      <c r="I130" s="3"/>
    </row>
    <row r="131" ht="13.5" customHeight="1" spans="1:9">
      <c r="A131" s="3"/>
      <c r="B131" s="3"/>
      <c r="C131" s="3"/>
      <c r="D131" s="3"/>
      <c r="E131" s="3"/>
      <c r="F131" s="3"/>
      <c r="I131" s="3"/>
    </row>
    <row r="132" ht="13.5" customHeight="1" spans="1:9">
      <c r="A132" s="3"/>
      <c r="B132" s="3"/>
      <c r="C132" s="3"/>
      <c r="D132" s="3"/>
      <c r="E132" s="3"/>
      <c r="F132" s="3"/>
      <c r="I132" s="3"/>
    </row>
    <row r="133" ht="13.5" customHeight="1" spans="1:9">
      <c r="A133" s="3"/>
      <c r="B133" s="3"/>
      <c r="C133" s="3"/>
      <c r="D133" s="3"/>
      <c r="E133" s="3"/>
      <c r="F133" s="3"/>
      <c r="I133" s="3"/>
    </row>
    <row r="134" ht="13.5" customHeight="1" spans="1:9">
      <c r="A134" s="3"/>
      <c r="B134" s="3"/>
      <c r="C134" s="3"/>
      <c r="D134" s="3"/>
      <c r="E134" s="3"/>
      <c r="F134" s="3"/>
      <c r="I134" s="3"/>
    </row>
    <row r="135" ht="13.5" customHeight="1" spans="1:9">
      <c r="A135" s="3"/>
      <c r="B135" s="3"/>
      <c r="C135" s="3"/>
      <c r="D135" s="3"/>
      <c r="E135" s="3"/>
      <c r="F135" s="3"/>
      <c r="I135" s="3"/>
    </row>
    <row r="136" ht="13.5" customHeight="1" spans="1:9">
      <c r="A136" s="3"/>
      <c r="B136" s="3"/>
      <c r="C136" s="3"/>
      <c r="D136" s="3"/>
      <c r="E136" s="3"/>
      <c r="F136" s="3"/>
      <c r="I136" s="3"/>
    </row>
    <row r="137" ht="13.5" customHeight="1" spans="1:9">
      <c r="A137" s="3"/>
      <c r="B137" s="3"/>
      <c r="C137" s="3"/>
      <c r="D137" s="3"/>
      <c r="E137" s="3"/>
      <c r="F137" s="3"/>
      <c r="I137" s="3"/>
    </row>
    <row r="138" ht="13.5" customHeight="1" spans="1:9">
      <c r="A138" s="3"/>
      <c r="B138" s="3"/>
      <c r="C138" s="3"/>
      <c r="D138" s="3"/>
      <c r="E138" s="3"/>
      <c r="F138" s="3"/>
      <c r="I138" s="3"/>
    </row>
    <row r="139" ht="13.5" customHeight="1" spans="1:9">
      <c r="A139" s="3"/>
      <c r="B139" s="3"/>
      <c r="C139" s="3"/>
      <c r="D139" s="3"/>
      <c r="E139" s="3"/>
      <c r="F139" s="3"/>
      <c r="I139" s="3"/>
    </row>
    <row r="140" ht="13.5" customHeight="1" spans="1:9">
      <c r="A140" s="3"/>
      <c r="B140" s="3"/>
      <c r="C140" s="3"/>
      <c r="D140" s="3"/>
      <c r="E140" s="3"/>
      <c r="F140" s="3"/>
      <c r="I140" s="3"/>
    </row>
    <row r="141" ht="13.5" customHeight="1" spans="1:9">
      <c r="A141" s="3"/>
      <c r="B141" s="3"/>
      <c r="C141" s="3"/>
      <c r="D141" s="3"/>
      <c r="E141" s="3"/>
      <c r="F141" s="3"/>
      <c r="I141" s="3"/>
    </row>
    <row r="142" ht="13.5" customHeight="1" spans="1:9">
      <c r="A142" s="3"/>
      <c r="B142" s="3"/>
      <c r="C142" s="3"/>
      <c r="D142" s="3"/>
      <c r="E142" s="3"/>
      <c r="F142" s="3"/>
      <c r="I142" s="3"/>
    </row>
    <row r="143" ht="13.5" customHeight="1" spans="1:9">
      <c r="A143" s="3"/>
      <c r="B143" s="3"/>
      <c r="C143" s="3"/>
      <c r="D143" s="3"/>
      <c r="E143" s="3"/>
      <c r="F143" s="3"/>
      <c r="I143" s="3"/>
    </row>
    <row r="144" ht="13.5" customHeight="1" spans="1:9">
      <c r="A144" s="3"/>
      <c r="B144" s="3"/>
      <c r="C144" s="3"/>
      <c r="D144" s="3"/>
      <c r="E144" s="3"/>
      <c r="F144" s="3"/>
      <c r="I144" s="3"/>
    </row>
    <row r="145" ht="13.5" customHeight="1" spans="1:9">
      <c r="A145" s="3"/>
      <c r="B145" s="3"/>
      <c r="C145" s="3"/>
      <c r="D145" s="3"/>
      <c r="E145" s="3"/>
      <c r="F145" s="3"/>
      <c r="I145" s="3"/>
    </row>
    <row r="146" ht="13.5" customHeight="1" spans="1:9">
      <c r="A146" s="3"/>
      <c r="B146" s="3"/>
      <c r="C146" s="3"/>
      <c r="D146" s="3"/>
      <c r="E146" s="3"/>
      <c r="F146" s="3"/>
      <c r="I146" s="3"/>
    </row>
    <row r="147" ht="13.5" customHeight="1" spans="1:9">
      <c r="A147" s="3"/>
      <c r="B147" s="3"/>
      <c r="C147" s="3"/>
      <c r="D147" s="3"/>
      <c r="E147" s="3"/>
      <c r="F147" s="3"/>
      <c r="I147" s="3"/>
    </row>
    <row r="148" ht="13.5" customHeight="1" spans="1:9">
      <c r="A148" s="3"/>
      <c r="B148" s="3"/>
      <c r="C148" s="3"/>
      <c r="D148" s="3"/>
      <c r="E148" s="3"/>
      <c r="F148" s="3"/>
      <c r="I148" s="3"/>
    </row>
    <row r="149" ht="13.5" customHeight="1" spans="1:9">
      <c r="A149" s="3"/>
      <c r="B149" s="3"/>
      <c r="C149" s="3"/>
      <c r="D149" s="3"/>
      <c r="E149" s="3"/>
      <c r="F149" s="3"/>
      <c r="I149" s="3"/>
    </row>
    <row r="150" ht="13.5" customHeight="1" spans="1:9">
      <c r="A150" s="3"/>
      <c r="B150" s="3"/>
      <c r="C150" s="3"/>
      <c r="D150" s="3"/>
      <c r="E150" s="3"/>
      <c r="F150" s="3"/>
      <c r="I150" s="3"/>
    </row>
    <row r="151" ht="13.5" customHeight="1" spans="1:9">
      <c r="A151" s="3"/>
      <c r="B151" s="3"/>
      <c r="C151" s="3"/>
      <c r="D151" s="3"/>
      <c r="E151" s="3"/>
      <c r="F151" s="3"/>
      <c r="I151" s="3"/>
    </row>
    <row r="152" ht="13.5" customHeight="1" spans="1:9">
      <c r="A152" s="3"/>
      <c r="B152" s="3"/>
      <c r="C152" s="3"/>
      <c r="D152" s="3"/>
      <c r="E152" s="3"/>
      <c r="F152" s="3"/>
      <c r="I152" s="3"/>
    </row>
    <row r="153" ht="13.5" customHeight="1" spans="1:9">
      <c r="A153" s="3"/>
      <c r="B153" s="3"/>
      <c r="C153" s="3"/>
      <c r="D153" s="3"/>
      <c r="E153" s="3"/>
      <c r="F153" s="3"/>
      <c r="I153" s="3"/>
    </row>
    <row r="154" ht="13.5" customHeight="1" spans="1:9">
      <c r="A154" s="3"/>
      <c r="B154" s="3"/>
      <c r="C154" s="3"/>
      <c r="D154" s="3"/>
      <c r="E154" s="3"/>
      <c r="F154" s="3"/>
      <c r="I154" s="3"/>
    </row>
    <row r="155" ht="13.5" customHeight="1" spans="1:9">
      <c r="A155" s="3"/>
      <c r="B155" s="3"/>
      <c r="C155" s="3"/>
      <c r="D155" s="3"/>
      <c r="E155" s="3"/>
      <c r="F155" s="3"/>
      <c r="I155" s="3"/>
    </row>
    <row r="156" ht="13.5" customHeight="1" spans="1:9">
      <c r="A156" s="3"/>
      <c r="B156" s="3"/>
      <c r="C156" s="3"/>
      <c r="D156" s="3"/>
      <c r="E156" s="3"/>
      <c r="F156" s="3"/>
      <c r="I156" s="3"/>
    </row>
    <row r="157" ht="13.5" customHeight="1" spans="1:9">
      <c r="A157" s="3"/>
      <c r="B157" s="3"/>
      <c r="C157" s="3"/>
      <c r="D157" s="3"/>
      <c r="E157" s="3"/>
      <c r="F157" s="3"/>
      <c r="I157" s="3"/>
    </row>
    <row r="158" ht="13.5" customHeight="1" spans="1:9">
      <c r="A158" s="3"/>
      <c r="B158" s="3"/>
      <c r="C158" s="3"/>
      <c r="D158" s="3"/>
      <c r="E158" s="3"/>
      <c r="F158" s="3"/>
      <c r="I158" s="3"/>
    </row>
    <row r="159" ht="13.5" customHeight="1" spans="1:9">
      <c r="A159" s="3"/>
      <c r="B159" s="3"/>
      <c r="C159" s="3"/>
      <c r="D159" s="3"/>
      <c r="E159" s="3"/>
      <c r="F159" s="3"/>
      <c r="I159" s="3"/>
    </row>
    <row r="160" ht="13.5" customHeight="1" spans="1:9">
      <c r="A160" s="3"/>
      <c r="B160" s="3"/>
      <c r="C160" s="3"/>
      <c r="D160" s="3"/>
      <c r="E160" s="3"/>
      <c r="F160" s="3"/>
      <c r="I160" s="3"/>
    </row>
    <row r="161" ht="13.5" customHeight="1" spans="1:9">
      <c r="A161" s="3"/>
      <c r="B161" s="3"/>
      <c r="C161" s="3"/>
      <c r="D161" s="3"/>
      <c r="E161" s="3"/>
      <c r="F161" s="3"/>
      <c r="I161" s="3"/>
    </row>
    <row r="162" ht="13.5" customHeight="1" spans="1:9">
      <c r="A162" s="3"/>
      <c r="B162" s="3"/>
      <c r="C162" s="3"/>
      <c r="D162" s="3"/>
      <c r="E162" s="3"/>
      <c r="F162" s="3"/>
      <c r="I162" s="3"/>
    </row>
    <row r="163" ht="13.5" customHeight="1" spans="1:9">
      <c r="A163" s="3"/>
      <c r="B163" s="3"/>
      <c r="C163" s="3"/>
      <c r="D163" s="3"/>
      <c r="E163" s="3"/>
      <c r="F163" s="3"/>
      <c r="I163" s="3"/>
    </row>
    <row r="164" ht="13.5" customHeight="1" spans="1:9">
      <c r="A164" s="3"/>
      <c r="B164" s="3"/>
      <c r="C164" s="3"/>
      <c r="D164" s="3"/>
      <c r="E164" s="3"/>
      <c r="F164" s="3"/>
      <c r="I164" s="3"/>
    </row>
    <row r="165" ht="13.5" customHeight="1" spans="1:9">
      <c r="A165" s="3"/>
      <c r="B165" s="3"/>
      <c r="C165" s="3"/>
      <c r="D165" s="3"/>
      <c r="E165" s="3"/>
      <c r="F165" s="3"/>
      <c r="I165" s="3"/>
    </row>
    <row r="166" ht="13.5" customHeight="1" spans="1:9">
      <c r="A166" s="3"/>
      <c r="B166" s="3"/>
      <c r="C166" s="3"/>
      <c r="D166" s="3"/>
      <c r="E166" s="3"/>
      <c r="F166" s="3"/>
      <c r="I166" s="3"/>
    </row>
    <row r="167" ht="13.5" customHeight="1" spans="1:9">
      <c r="A167" s="3"/>
      <c r="B167" s="3"/>
      <c r="C167" s="3"/>
      <c r="D167" s="3"/>
      <c r="E167" s="3"/>
      <c r="F167" s="3"/>
      <c r="I167" s="3"/>
    </row>
    <row r="168" ht="13.5" customHeight="1" spans="1:9">
      <c r="A168" s="3"/>
      <c r="B168" s="3"/>
      <c r="C168" s="3"/>
      <c r="D168" s="3"/>
      <c r="E168" s="3"/>
      <c r="F168" s="3"/>
      <c r="I168" s="3"/>
    </row>
    <row r="169" ht="13.5" customHeight="1" spans="1:9">
      <c r="A169" s="3"/>
      <c r="B169" s="3"/>
      <c r="C169" s="3"/>
      <c r="D169" s="3"/>
      <c r="E169" s="3"/>
      <c r="F169" s="3"/>
      <c r="I169" s="3"/>
    </row>
    <row r="170" ht="13.5" customHeight="1" spans="1:9">
      <c r="A170" s="3"/>
      <c r="B170" s="3"/>
      <c r="C170" s="3"/>
      <c r="D170" s="3"/>
      <c r="E170" s="3"/>
      <c r="F170" s="3"/>
      <c r="I170" s="3"/>
    </row>
    <row r="171" ht="13.5" customHeight="1" spans="1:9">
      <c r="A171" s="3"/>
      <c r="B171" s="3"/>
      <c r="C171" s="3"/>
      <c r="D171" s="3"/>
      <c r="E171" s="3"/>
      <c r="F171" s="3"/>
      <c r="I171" s="3"/>
    </row>
    <row r="172" ht="13.5" customHeight="1" spans="1:9">
      <c r="A172" s="3"/>
      <c r="B172" s="3"/>
      <c r="C172" s="3"/>
      <c r="D172" s="3"/>
      <c r="E172" s="3"/>
      <c r="F172" s="3"/>
      <c r="I172" s="3"/>
    </row>
    <row r="173" ht="13.5" customHeight="1" spans="1:9">
      <c r="A173" s="3"/>
      <c r="B173" s="3"/>
      <c r="C173" s="3"/>
      <c r="D173" s="3"/>
      <c r="E173" s="3"/>
      <c r="F173" s="3"/>
      <c r="I173" s="3"/>
    </row>
    <row r="174" ht="13.5" customHeight="1" spans="1:9">
      <c r="A174" s="3"/>
      <c r="B174" s="3"/>
      <c r="C174" s="3"/>
      <c r="D174" s="3"/>
      <c r="E174" s="3"/>
      <c r="F174" s="3"/>
      <c r="I174" s="3"/>
    </row>
    <row r="175" ht="13.5" customHeight="1" spans="1:9">
      <c r="A175" s="3"/>
      <c r="B175" s="3"/>
      <c r="C175" s="3"/>
      <c r="D175" s="3"/>
      <c r="E175" s="3"/>
      <c r="F175" s="3"/>
      <c r="I175" s="3"/>
    </row>
    <row r="176" ht="13.5" customHeight="1" spans="1:9">
      <c r="A176" s="3"/>
      <c r="B176" s="3"/>
      <c r="C176" s="3"/>
      <c r="D176" s="3"/>
      <c r="E176" s="3"/>
      <c r="F176" s="3"/>
      <c r="I176" s="3"/>
    </row>
    <row r="177" ht="13.5" customHeight="1" spans="1:9">
      <c r="A177" s="3"/>
      <c r="B177" s="3"/>
      <c r="C177" s="3"/>
      <c r="D177" s="3"/>
      <c r="E177" s="3"/>
      <c r="F177" s="3"/>
      <c r="I177" s="3"/>
    </row>
    <row r="178" ht="13.5" customHeight="1" spans="1:9">
      <c r="A178" s="3"/>
      <c r="B178" s="3"/>
      <c r="C178" s="3"/>
      <c r="D178" s="3"/>
      <c r="E178" s="3"/>
      <c r="F178" s="3"/>
      <c r="I178" s="3"/>
    </row>
    <row r="179" ht="13.5" customHeight="1" spans="1:9">
      <c r="A179" s="3"/>
      <c r="B179" s="3"/>
      <c r="C179" s="3"/>
      <c r="D179" s="3"/>
      <c r="E179" s="3"/>
      <c r="F179" s="3"/>
      <c r="I179" s="3"/>
    </row>
    <row r="180" ht="13.5" customHeight="1" spans="1:9">
      <c r="A180" s="3"/>
      <c r="B180" s="3"/>
      <c r="C180" s="3"/>
      <c r="D180" s="3"/>
      <c r="E180" s="3"/>
      <c r="F180" s="3"/>
      <c r="I180" s="3"/>
    </row>
    <row r="181" ht="13.5" customHeight="1" spans="1:9">
      <c r="A181" s="3"/>
      <c r="B181" s="3"/>
      <c r="C181" s="3"/>
      <c r="D181" s="3"/>
      <c r="E181" s="3"/>
      <c r="F181" s="3"/>
      <c r="I181" s="3"/>
    </row>
    <row r="182" ht="13.5" customHeight="1" spans="1:9">
      <c r="A182" s="3"/>
      <c r="B182" s="3"/>
      <c r="C182" s="3"/>
      <c r="D182" s="3"/>
      <c r="E182" s="3"/>
      <c r="F182" s="3"/>
      <c r="I182" s="3"/>
    </row>
    <row r="183" ht="13.5" customHeight="1" spans="1:9">
      <c r="A183" s="3"/>
      <c r="B183" s="3"/>
      <c r="C183" s="3"/>
      <c r="D183" s="3"/>
      <c r="E183" s="3"/>
      <c r="F183" s="3"/>
      <c r="I183" s="3"/>
    </row>
    <row r="184" ht="13.5" customHeight="1" spans="1:9">
      <c r="A184" s="3"/>
      <c r="B184" s="3"/>
      <c r="C184" s="3"/>
      <c r="D184" s="3"/>
      <c r="E184" s="3"/>
      <c r="F184" s="3"/>
      <c r="I184" s="3"/>
    </row>
    <row r="185" ht="13.5" customHeight="1" spans="1:9">
      <c r="A185" s="3"/>
      <c r="B185" s="3"/>
      <c r="C185" s="3"/>
      <c r="D185" s="3"/>
      <c r="E185" s="3"/>
      <c r="F185" s="3"/>
      <c r="I185" s="3"/>
    </row>
    <row r="186" ht="13.5" customHeight="1" spans="1:9">
      <c r="A186" s="3"/>
      <c r="B186" s="3"/>
      <c r="C186" s="3"/>
      <c r="D186" s="3"/>
      <c r="E186" s="3"/>
      <c r="F186" s="3"/>
      <c r="I186" s="3"/>
    </row>
    <row r="187" ht="13.5" customHeight="1" spans="1:9">
      <c r="A187" s="3"/>
      <c r="B187" s="3"/>
      <c r="C187" s="3"/>
      <c r="D187" s="3"/>
      <c r="E187" s="3"/>
      <c r="F187" s="3"/>
      <c r="I187" s="3"/>
    </row>
    <row r="188" ht="13.5" customHeight="1" spans="1:9">
      <c r="A188" s="3"/>
      <c r="B188" s="3"/>
      <c r="C188" s="3"/>
      <c r="D188" s="3"/>
      <c r="E188" s="3"/>
      <c r="F188" s="3"/>
      <c r="I188" s="3"/>
    </row>
    <row r="189" ht="13.5" customHeight="1" spans="1:9">
      <c r="A189" s="3"/>
      <c r="B189" s="3"/>
      <c r="C189" s="3"/>
      <c r="D189" s="3"/>
      <c r="E189" s="3"/>
      <c r="F189" s="3"/>
      <c r="I189" s="3"/>
    </row>
    <row r="190" ht="13.5" customHeight="1" spans="1:9">
      <c r="A190" s="3"/>
      <c r="B190" s="3"/>
      <c r="C190" s="3"/>
      <c r="D190" s="3"/>
      <c r="E190" s="3"/>
      <c r="F190" s="3"/>
      <c r="I190" s="3"/>
    </row>
    <row r="191" ht="13.5" customHeight="1" spans="1:9">
      <c r="A191" s="3"/>
      <c r="B191" s="3"/>
      <c r="C191" s="3"/>
      <c r="D191" s="3"/>
      <c r="E191" s="3"/>
      <c r="F191" s="3"/>
      <c r="I191" s="3"/>
    </row>
    <row r="192" ht="13.5" customHeight="1" spans="1:9">
      <c r="A192" s="3"/>
      <c r="B192" s="3"/>
      <c r="C192" s="3"/>
      <c r="D192" s="3"/>
      <c r="E192" s="3"/>
      <c r="F192" s="3"/>
      <c r="I192" s="3"/>
    </row>
    <row r="193" ht="13.5" customHeight="1" spans="1:9">
      <c r="A193" s="3"/>
      <c r="B193" s="3"/>
      <c r="C193" s="3"/>
      <c r="D193" s="3"/>
      <c r="E193" s="3"/>
      <c r="F193" s="3"/>
      <c r="I193" s="3"/>
    </row>
    <row r="194" ht="13.5" customHeight="1" spans="1:9">
      <c r="A194" s="3"/>
      <c r="B194" s="3"/>
      <c r="C194" s="3"/>
      <c r="D194" s="3"/>
      <c r="E194" s="3"/>
      <c r="F194" s="3"/>
      <c r="I194" s="3"/>
    </row>
    <row r="195" ht="13.5" customHeight="1" spans="1:9">
      <c r="A195" s="3"/>
      <c r="B195" s="3"/>
      <c r="C195" s="3"/>
      <c r="D195" s="3"/>
      <c r="E195" s="3"/>
      <c r="F195" s="3"/>
      <c r="I195" s="3"/>
    </row>
    <row r="196" ht="13.5" customHeight="1" spans="1:9">
      <c r="A196" s="3"/>
      <c r="B196" s="3"/>
      <c r="C196" s="3"/>
      <c r="D196" s="3"/>
      <c r="E196" s="3"/>
      <c r="F196" s="3"/>
      <c r="I196" s="3"/>
    </row>
    <row r="197" ht="13.5" customHeight="1" spans="1:9">
      <c r="A197" s="3"/>
      <c r="B197" s="3"/>
      <c r="C197" s="3"/>
      <c r="D197" s="3"/>
      <c r="E197" s="3"/>
      <c r="F197" s="3"/>
      <c r="I197" s="3"/>
    </row>
    <row r="198" ht="13.5" customHeight="1" spans="1:9">
      <c r="A198" s="3"/>
      <c r="B198" s="3"/>
      <c r="C198" s="3"/>
      <c r="D198" s="3"/>
      <c r="E198" s="3"/>
      <c r="F198" s="3"/>
      <c r="I198" s="3"/>
    </row>
    <row r="199" spans="1:9">
      <c r="A199" s="3"/>
      <c r="B199" s="3"/>
      <c r="C199" s="3"/>
      <c r="D199" s="3"/>
      <c r="E199" s="3"/>
      <c r="F199" s="3"/>
      <c r="I199" s="3"/>
    </row>
    <row r="200" spans="1:9">
      <c r="A200" s="3"/>
      <c r="B200" s="3"/>
      <c r="C200" s="3"/>
      <c r="D200" s="3"/>
      <c r="E200" s="3"/>
      <c r="F200" s="3"/>
      <c r="I200" s="3"/>
    </row>
    <row r="201" spans="1:9">
      <c r="A201" s="3"/>
      <c r="B201" s="3"/>
      <c r="C201" s="3"/>
      <c r="D201" s="3"/>
      <c r="E201" s="3"/>
      <c r="F201" s="3"/>
      <c r="I201" s="3"/>
    </row>
    <row r="202" spans="1:9">
      <c r="A202" s="3"/>
      <c r="B202" s="3"/>
      <c r="C202" s="3"/>
      <c r="D202" s="3"/>
      <c r="E202" s="3"/>
      <c r="F202" s="3"/>
      <c r="I202" s="3"/>
    </row>
    <row r="203" spans="1:9">
      <c r="A203" s="3"/>
      <c r="B203" s="3"/>
      <c r="C203" s="3"/>
      <c r="D203" s="3"/>
      <c r="E203" s="3"/>
      <c r="F203" s="3"/>
      <c r="I203" s="3"/>
    </row>
    <row r="204" spans="1:9">
      <c r="A204" s="3"/>
      <c r="B204" s="3"/>
      <c r="C204" s="3"/>
      <c r="D204" s="3"/>
      <c r="E204" s="3"/>
      <c r="F204" s="3"/>
      <c r="I204" s="3"/>
    </row>
    <row r="205" spans="1:9">
      <c r="A205" s="3"/>
      <c r="B205" s="3"/>
      <c r="C205" s="3"/>
      <c r="D205" s="3"/>
      <c r="E205" s="3"/>
      <c r="F205" s="3"/>
      <c r="I205" s="3"/>
    </row>
    <row r="206" spans="1:9">
      <c r="A206" s="3"/>
      <c r="B206" s="3"/>
      <c r="C206" s="3"/>
      <c r="D206" s="3"/>
      <c r="E206" s="3"/>
      <c r="F206" s="3"/>
      <c r="I206" s="3"/>
    </row>
    <row r="207" spans="1:9">
      <c r="A207" s="3"/>
      <c r="B207" s="3"/>
      <c r="C207" s="3"/>
      <c r="D207" s="3"/>
      <c r="E207" s="3"/>
      <c r="F207" s="3"/>
      <c r="I207" s="3"/>
    </row>
    <row r="208" spans="1:9">
      <c r="A208" s="3"/>
      <c r="B208" s="3"/>
      <c r="C208" s="3"/>
      <c r="D208" s="3"/>
      <c r="E208" s="3"/>
      <c r="F208" s="3"/>
      <c r="I208" s="3"/>
    </row>
    <row r="209" spans="1:9">
      <c r="A209" s="3"/>
      <c r="B209" s="3"/>
      <c r="C209" s="3"/>
      <c r="D209" s="3"/>
      <c r="E209" s="3"/>
      <c r="F209" s="3"/>
      <c r="I209" s="3"/>
    </row>
    <row r="210" spans="1:9">
      <c r="A210" s="3"/>
      <c r="B210" s="3"/>
      <c r="C210" s="3"/>
      <c r="D210" s="3"/>
      <c r="E210" s="3"/>
      <c r="F210" s="3"/>
      <c r="I210" s="3"/>
    </row>
    <row r="211" spans="1:9">
      <c r="A211" s="3"/>
      <c r="B211" s="3"/>
      <c r="C211" s="3"/>
      <c r="D211" s="3"/>
      <c r="E211" s="3"/>
      <c r="F211" s="3"/>
      <c r="I211" s="3"/>
    </row>
    <row r="212" spans="1:9">
      <c r="A212" s="3"/>
      <c r="B212" s="3"/>
      <c r="C212" s="3"/>
      <c r="D212" s="3"/>
      <c r="E212" s="3"/>
      <c r="F212" s="3"/>
      <c r="I212" s="3"/>
    </row>
    <row r="213" spans="1:9">
      <c r="A213" s="3"/>
      <c r="B213" s="3"/>
      <c r="C213" s="3"/>
      <c r="D213" s="3"/>
      <c r="E213" s="3"/>
      <c r="F213" s="3"/>
      <c r="I213" s="3"/>
    </row>
    <row r="214" spans="1:9">
      <c r="A214" s="3"/>
      <c r="B214" s="3"/>
      <c r="C214" s="3"/>
      <c r="D214" s="3"/>
      <c r="E214" s="3"/>
      <c r="F214" s="3"/>
      <c r="I214" s="3"/>
    </row>
    <row r="215" spans="1:9">
      <c r="A215" s="3"/>
      <c r="B215" s="3"/>
      <c r="C215" s="3"/>
      <c r="D215" s="3"/>
      <c r="E215" s="3"/>
      <c r="F215" s="3"/>
      <c r="I215" s="3"/>
    </row>
    <row r="216" spans="1:9">
      <c r="A216" s="3"/>
      <c r="B216" s="3"/>
      <c r="C216" s="3"/>
      <c r="D216" s="3"/>
      <c r="E216" s="3"/>
      <c r="F216" s="3"/>
      <c r="I216" s="3"/>
    </row>
    <row r="217" spans="1:9">
      <c r="A217" s="3"/>
      <c r="B217" s="3"/>
      <c r="C217" s="3"/>
      <c r="D217" s="3"/>
      <c r="E217" s="3"/>
      <c r="F217" s="3"/>
      <c r="I217" s="3"/>
    </row>
    <row r="218" spans="1:9">
      <c r="A218" s="3"/>
      <c r="B218" s="3"/>
      <c r="C218" s="3"/>
      <c r="D218" s="3"/>
      <c r="E218" s="3"/>
      <c r="F218" s="3"/>
      <c r="I218" s="3"/>
    </row>
    <row r="219" spans="1:9">
      <c r="A219" s="3"/>
      <c r="B219" s="3"/>
      <c r="C219" s="3"/>
      <c r="D219" s="3"/>
      <c r="E219" s="3"/>
      <c r="F219" s="3"/>
      <c r="I219" s="3"/>
    </row>
    <row r="220" spans="1:9">
      <c r="A220" s="3"/>
      <c r="B220" s="3"/>
      <c r="C220" s="3"/>
      <c r="D220" s="3"/>
      <c r="E220" s="3"/>
      <c r="F220" s="3"/>
      <c r="I220" s="3"/>
    </row>
    <row r="221" spans="1:9">
      <c r="A221" s="3"/>
      <c r="B221" s="3"/>
      <c r="C221" s="3"/>
      <c r="D221" s="3"/>
      <c r="E221" s="3"/>
      <c r="F221" s="3"/>
      <c r="I221" s="3"/>
    </row>
    <row r="222" spans="1:9">
      <c r="A222" s="3"/>
      <c r="B222" s="3"/>
      <c r="C222" s="3"/>
      <c r="D222" s="3"/>
      <c r="E222" s="3"/>
      <c r="F222" s="3"/>
      <c r="I222" s="3"/>
    </row>
    <row r="223" spans="1:9">
      <c r="A223" s="3"/>
      <c r="B223" s="3"/>
      <c r="C223" s="3"/>
      <c r="D223" s="3"/>
      <c r="E223" s="3"/>
      <c r="F223" s="3"/>
      <c r="I223" s="3"/>
    </row>
    <row r="224" spans="1:9">
      <c r="A224" s="3"/>
      <c r="B224" s="3"/>
      <c r="C224" s="3"/>
      <c r="D224" s="3"/>
      <c r="E224" s="3"/>
      <c r="F224" s="3"/>
      <c r="I224" s="3"/>
    </row>
    <row r="225" spans="1:9">
      <c r="A225" s="3"/>
      <c r="B225" s="3"/>
      <c r="C225" s="3"/>
      <c r="D225" s="3"/>
      <c r="E225" s="3"/>
      <c r="F225" s="3"/>
      <c r="I225" s="3"/>
    </row>
    <row r="226" spans="1:9">
      <c r="A226" s="3"/>
      <c r="B226" s="3"/>
      <c r="C226" s="3"/>
      <c r="D226" s="3"/>
      <c r="E226" s="3"/>
      <c r="F226" s="3"/>
      <c r="I226" s="3"/>
    </row>
    <row r="227" spans="1:9">
      <c r="A227" s="3"/>
      <c r="B227" s="3"/>
      <c r="C227" s="3"/>
      <c r="D227" s="3"/>
      <c r="E227" s="3"/>
      <c r="F227" s="3"/>
      <c r="I227" s="3"/>
    </row>
    <row r="228" spans="1:9">
      <c r="A228" s="3"/>
      <c r="B228" s="3"/>
      <c r="C228" s="3"/>
      <c r="D228" s="3"/>
      <c r="E228" s="3"/>
      <c r="F228" s="3"/>
      <c r="I228" s="3"/>
    </row>
    <row r="229" spans="1:9">
      <c r="A229" s="3"/>
      <c r="B229" s="3"/>
      <c r="C229" s="3"/>
      <c r="D229" s="3"/>
      <c r="E229" s="3"/>
      <c r="F229" s="3"/>
      <c r="I229" s="3"/>
    </row>
    <row r="230" spans="1:9">
      <c r="A230" s="3"/>
      <c r="B230" s="3"/>
      <c r="C230" s="3"/>
      <c r="D230" s="3"/>
      <c r="E230" s="3"/>
      <c r="F230" s="3"/>
      <c r="I230" s="3"/>
    </row>
    <row r="231" spans="1:9">
      <c r="A231" s="3"/>
      <c r="B231" s="3"/>
      <c r="C231" s="3"/>
      <c r="D231" s="3"/>
      <c r="E231" s="3"/>
      <c r="F231" s="3"/>
      <c r="I231" s="3"/>
    </row>
    <row r="232" spans="1:9">
      <c r="A232" s="3"/>
      <c r="B232" s="3"/>
      <c r="C232" s="3"/>
      <c r="D232" s="3"/>
      <c r="E232" s="3"/>
      <c r="F232" s="3"/>
      <c r="I232" s="3"/>
    </row>
    <row r="233" spans="1:9">
      <c r="A233" s="3"/>
      <c r="B233" s="3"/>
      <c r="C233" s="3"/>
      <c r="D233" s="3"/>
      <c r="E233" s="3"/>
      <c r="F233" s="3"/>
      <c r="I233" s="3"/>
    </row>
    <row r="234" spans="1:9">
      <c r="A234" s="3"/>
      <c r="B234" s="3"/>
      <c r="C234" s="3"/>
      <c r="D234" s="3"/>
      <c r="E234" s="3"/>
      <c r="F234" s="3"/>
      <c r="I234" s="3"/>
    </row>
    <row r="235" spans="1:9">
      <c r="A235" s="3"/>
      <c r="B235" s="3"/>
      <c r="C235" s="3"/>
      <c r="D235" s="3"/>
      <c r="E235" s="3"/>
      <c r="F235" s="3"/>
      <c r="I235" s="3"/>
    </row>
    <row r="236" spans="1:9">
      <c r="A236" s="3"/>
      <c r="B236" s="3"/>
      <c r="C236" s="3"/>
      <c r="D236" s="3"/>
      <c r="E236" s="3"/>
      <c r="F236" s="3"/>
      <c r="I236" s="3"/>
    </row>
    <row r="237" spans="1:9">
      <c r="A237" s="3"/>
      <c r="B237" s="3"/>
      <c r="C237" s="3"/>
      <c r="D237" s="3"/>
      <c r="E237" s="3"/>
      <c r="F237" s="3"/>
      <c r="I237" s="3"/>
    </row>
    <row r="238" spans="1:9">
      <c r="A238" s="3"/>
      <c r="B238" s="3"/>
      <c r="C238" s="3"/>
      <c r="D238" s="3"/>
      <c r="E238" s="3"/>
      <c r="F238" s="3"/>
      <c r="I238" s="3"/>
    </row>
    <row r="239" spans="1:9">
      <c r="A239" s="3"/>
      <c r="B239" s="3"/>
      <c r="C239" s="3"/>
      <c r="D239" s="3"/>
      <c r="E239" s="3"/>
      <c r="F239" s="3"/>
      <c r="I239" s="3"/>
    </row>
    <row r="240" spans="1:9">
      <c r="A240" s="3"/>
      <c r="B240" s="3"/>
      <c r="C240" s="3"/>
      <c r="D240" s="3"/>
      <c r="E240" s="3"/>
      <c r="F240" s="3"/>
      <c r="I240" s="3"/>
    </row>
    <row r="241" spans="1:9">
      <c r="A241" s="3"/>
      <c r="B241" s="3"/>
      <c r="C241" s="3"/>
      <c r="D241" s="3"/>
      <c r="E241" s="3"/>
      <c r="F241" s="3"/>
      <c r="I241" s="3"/>
    </row>
    <row r="242" spans="1:9">
      <c r="A242" s="3"/>
      <c r="B242" s="3"/>
      <c r="C242" s="3"/>
      <c r="D242" s="3"/>
      <c r="E242" s="3"/>
      <c r="F242" s="3"/>
      <c r="I242" s="3"/>
    </row>
    <row r="243" spans="1:9">
      <c r="A243" s="3"/>
      <c r="B243" s="3"/>
      <c r="C243" s="3"/>
      <c r="D243" s="3"/>
      <c r="E243" s="3"/>
      <c r="F243" s="3"/>
      <c r="I243" s="3"/>
    </row>
    <row r="244" spans="1:9">
      <c r="A244" s="3"/>
      <c r="B244" s="3"/>
      <c r="C244" s="3"/>
      <c r="D244" s="3"/>
      <c r="E244" s="3"/>
      <c r="F244" s="3"/>
      <c r="I244" s="3"/>
    </row>
    <row r="245" spans="1:9">
      <c r="A245" s="3"/>
      <c r="B245" s="3"/>
      <c r="C245" s="3"/>
      <c r="D245" s="3"/>
      <c r="E245" s="3"/>
      <c r="F245" s="3"/>
      <c r="I245" s="3"/>
    </row>
    <row r="246" spans="1:9">
      <c r="A246" s="3"/>
      <c r="B246" s="3"/>
      <c r="C246" s="3"/>
      <c r="D246" s="3"/>
      <c r="E246" s="3"/>
      <c r="F246" s="3"/>
      <c r="I246" s="3"/>
    </row>
    <row r="247" spans="1:9">
      <c r="A247" s="3"/>
      <c r="B247" s="3"/>
      <c r="C247" s="3"/>
      <c r="D247" s="3"/>
      <c r="E247" s="3"/>
      <c r="F247" s="3"/>
      <c r="I247" s="3"/>
    </row>
    <row r="248" spans="1:9">
      <c r="A248" s="3"/>
      <c r="B248" s="3"/>
      <c r="C248" s="3"/>
      <c r="D248" s="3"/>
      <c r="E248" s="3"/>
      <c r="F248" s="3"/>
      <c r="I248" s="3"/>
    </row>
    <row r="249" spans="1:9">
      <c r="A249" s="3"/>
      <c r="B249" s="3"/>
      <c r="C249" s="3"/>
      <c r="D249" s="3"/>
      <c r="E249" s="3"/>
      <c r="F249" s="3"/>
      <c r="I249" s="3"/>
    </row>
    <row r="250" spans="1:9">
      <c r="A250" s="3"/>
      <c r="B250" s="3"/>
      <c r="C250" s="3"/>
      <c r="D250" s="3"/>
      <c r="E250" s="3"/>
      <c r="F250" s="3"/>
      <c r="I250" s="3"/>
    </row>
    <row r="251" spans="1:9">
      <c r="A251" s="3"/>
      <c r="B251" s="3"/>
      <c r="C251" s="3"/>
      <c r="D251" s="3"/>
      <c r="E251" s="3"/>
      <c r="F251" s="3"/>
      <c r="I251" s="3"/>
    </row>
    <row r="252" spans="1:9">
      <c r="A252" s="3"/>
      <c r="B252" s="3"/>
      <c r="C252" s="3"/>
      <c r="D252" s="3"/>
      <c r="E252" s="3"/>
      <c r="F252" s="3"/>
      <c r="I252" s="3"/>
    </row>
    <row r="253" spans="1:9">
      <c r="A253" s="3"/>
      <c r="B253" s="3"/>
      <c r="C253" s="3"/>
      <c r="D253" s="3"/>
      <c r="E253" s="3"/>
      <c r="F253" s="3"/>
      <c r="I253" s="3"/>
    </row>
    <row r="254" spans="1:9">
      <c r="A254" s="3"/>
      <c r="B254" s="3"/>
      <c r="C254" s="3"/>
      <c r="D254" s="3"/>
      <c r="E254" s="3"/>
      <c r="F254" s="3"/>
      <c r="I254" s="3"/>
    </row>
    <row r="255" spans="1:9">
      <c r="A255" s="3"/>
      <c r="B255" s="3"/>
      <c r="C255" s="3"/>
      <c r="D255" s="3"/>
      <c r="E255" s="3"/>
      <c r="F255" s="3"/>
      <c r="I255" s="3"/>
    </row>
    <row r="256" spans="1:9">
      <c r="A256" s="3"/>
      <c r="B256" s="3"/>
      <c r="C256" s="3"/>
      <c r="D256" s="3"/>
      <c r="E256" s="3"/>
      <c r="F256" s="3"/>
      <c r="I256" s="3"/>
    </row>
    <row r="257" spans="1:9">
      <c r="A257" s="3"/>
      <c r="B257" s="3"/>
      <c r="C257" s="3"/>
      <c r="D257" s="3"/>
      <c r="E257" s="3"/>
      <c r="F257" s="3"/>
      <c r="I257" s="3"/>
    </row>
    <row r="258" spans="1:9">
      <c r="A258" s="3"/>
      <c r="B258" s="3"/>
      <c r="C258" s="3"/>
      <c r="D258" s="3"/>
      <c r="E258" s="3"/>
      <c r="F258" s="3"/>
      <c r="I258" s="3"/>
    </row>
    <row r="259" spans="1:9">
      <c r="A259" s="3"/>
      <c r="B259" s="3"/>
      <c r="C259" s="3"/>
      <c r="D259" s="3"/>
      <c r="E259" s="3"/>
      <c r="F259" s="3"/>
      <c r="I259" s="3"/>
    </row>
    <row r="260" spans="1:9">
      <c r="A260" s="3"/>
      <c r="B260" s="3"/>
      <c r="C260" s="3"/>
      <c r="D260" s="3"/>
      <c r="E260" s="3"/>
      <c r="F260" s="3"/>
      <c r="I260" s="3"/>
    </row>
    <row r="261" spans="1:9">
      <c r="A261" s="3"/>
      <c r="B261" s="3"/>
      <c r="C261" s="3"/>
      <c r="D261" s="3"/>
      <c r="E261" s="3"/>
      <c r="F261" s="3"/>
      <c r="I261" s="3"/>
    </row>
    <row r="262" spans="1:9">
      <c r="A262" s="3"/>
      <c r="B262" s="3"/>
      <c r="C262" s="3"/>
      <c r="D262" s="3"/>
      <c r="E262" s="3"/>
      <c r="F262" s="3"/>
      <c r="I262" s="3"/>
    </row>
    <row r="263" spans="1:9">
      <c r="A263" s="3"/>
      <c r="B263" s="3"/>
      <c r="C263" s="3"/>
      <c r="D263" s="3"/>
      <c r="E263" s="3"/>
      <c r="F263" s="3"/>
      <c r="I263" s="3"/>
    </row>
    <row r="264" spans="1:9">
      <c r="A264" s="3"/>
      <c r="B264" s="3"/>
      <c r="C264" s="3"/>
      <c r="D264" s="3"/>
      <c r="E264" s="3"/>
      <c r="F264" s="3"/>
      <c r="I264" s="3"/>
    </row>
    <row r="265" spans="1:9">
      <c r="A265" s="3"/>
      <c r="B265" s="3"/>
      <c r="C265" s="3"/>
      <c r="D265" s="3"/>
      <c r="E265" s="3"/>
      <c r="F265" s="3"/>
      <c r="I265" s="3"/>
    </row>
    <row r="266" spans="1:9">
      <c r="A266" s="3"/>
      <c r="B266" s="3"/>
      <c r="C266" s="3"/>
      <c r="D266" s="3"/>
      <c r="E266" s="3"/>
      <c r="F266" s="3"/>
      <c r="I266" s="3"/>
    </row>
    <row r="267" spans="1:9">
      <c r="A267" s="3"/>
      <c r="B267" s="3"/>
      <c r="C267" s="3"/>
      <c r="D267" s="3"/>
      <c r="E267" s="3"/>
      <c r="F267" s="3"/>
      <c r="I267" s="3"/>
    </row>
    <row r="268" spans="1:9">
      <c r="A268" s="3"/>
      <c r="B268" s="3"/>
      <c r="C268" s="3"/>
      <c r="D268" s="3"/>
      <c r="E268" s="3"/>
      <c r="F268" s="3"/>
      <c r="I268" s="3"/>
    </row>
    <row r="269" spans="1:9">
      <c r="A269" s="3"/>
      <c r="B269" s="3"/>
      <c r="C269" s="3"/>
      <c r="D269" s="3"/>
      <c r="E269" s="3"/>
      <c r="F269" s="3"/>
      <c r="I269" s="3"/>
    </row>
    <row r="270" spans="1:9">
      <c r="A270" s="3"/>
      <c r="B270" s="3"/>
      <c r="C270" s="3"/>
      <c r="D270" s="3"/>
      <c r="E270" s="3"/>
      <c r="F270" s="3"/>
      <c r="I270" s="3"/>
    </row>
    <row r="271" spans="1:9">
      <c r="A271" s="3"/>
      <c r="B271" s="3"/>
      <c r="C271" s="3"/>
      <c r="D271" s="3"/>
      <c r="E271" s="3"/>
      <c r="F271" s="3"/>
      <c r="I271" s="3"/>
    </row>
    <row r="272" spans="1:9">
      <c r="A272" s="3"/>
      <c r="B272" s="3"/>
      <c r="C272" s="3"/>
      <c r="D272" s="3"/>
      <c r="E272" s="3"/>
      <c r="F272" s="3"/>
      <c r="I272" s="3"/>
    </row>
    <row r="273" spans="1:9">
      <c r="A273" s="3"/>
      <c r="B273" s="3"/>
      <c r="C273" s="3"/>
      <c r="D273" s="3"/>
      <c r="E273" s="3"/>
      <c r="F273" s="3"/>
      <c r="I273" s="3"/>
    </row>
    <row r="274" spans="1:9">
      <c r="A274" s="3"/>
      <c r="B274" s="3"/>
      <c r="C274" s="3"/>
      <c r="D274" s="3"/>
      <c r="E274" s="3"/>
      <c r="F274" s="3"/>
      <c r="I274" s="3"/>
    </row>
    <row r="275" spans="1:9">
      <c r="A275" s="3"/>
      <c r="B275" s="3"/>
      <c r="C275" s="3"/>
      <c r="D275" s="3"/>
      <c r="E275" s="3"/>
      <c r="F275" s="3"/>
      <c r="I275" s="3"/>
    </row>
    <row r="276" spans="1:9">
      <c r="A276" s="3"/>
      <c r="B276" s="3"/>
      <c r="C276" s="3"/>
      <c r="D276" s="3"/>
      <c r="E276" s="3"/>
      <c r="F276" s="3"/>
      <c r="I276" s="3"/>
    </row>
    <row r="277" spans="1:9">
      <c r="A277" s="3"/>
      <c r="B277" s="3"/>
      <c r="C277" s="3"/>
      <c r="D277" s="3"/>
      <c r="E277" s="3"/>
      <c r="F277" s="3"/>
      <c r="I277" s="3"/>
    </row>
    <row r="278" spans="1:9">
      <c r="A278" s="3"/>
      <c r="B278" s="3"/>
      <c r="C278" s="3"/>
      <c r="D278" s="3"/>
      <c r="E278" s="3"/>
      <c r="F278" s="3"/>
      <c r="I278" s="3"/>
    </row>
    <row r="279" spans="1:9">
      <c r="A279" s="3"/>
      <c r="B279" s="3"/>
      <c r="C279" s="3"/>
      <c r="D279" s="3"/>
      <c r="E279" s="3"/>
      <c r="F279" s="3"/>
      <c r="I279" s="3"/>
    </row>
    <row r="280" spans="1:9">
      <c r="A280" s="3"/>
      <c r="B280" s="3"/>
      <c r="C280" s="3"/>
      <c r="D280" s="3"/>
      <c r="E280" s="3"/>
      <c r="F280" s="3"/>
      <c r="I280" s="3"/>
    </row>
    <row r="281" spans="1:9">
      <c r="A281" s="3"/>
      <c r="B281" s="3"/>
      <c r="C281" s="3"/>
      <c r="D281" s="3"/>
      <c r="E281" s="3"/>
      <c r="F281" s="3"/>
      <c r="I281" s="3"/>
    </row>
    <row r="282" spans="1:9">
      <c r="A282" s="3"/>
      <c r="B282" s="3"/>
      <c r="C282" s="3"/>
      <c r="D282" s="3"/>
      <c r="E282" s="3"/>
      <c r="F282" s="3"/>
      <c r="I282" s="3"/>
    </row>
    <row r="283" spans="1:9">
      <c r="A283" s="3"/>
      <c r="B283" s="3"/>
      <c r="C283" s="3"/>
      <c r="D283" s="3"/>
      <c r="E283" s="3"/>
      <c r="F283" s="3"/>
      <c r="I283" s="3"/>
    </row>
    <row r="284" spans="1:9">
      <c r="A284" s="3"/>
      <c r="B284" s="3"/>
      <c r="C284" s="3"/>
      <c r="D284" s="3"/>
      <c r="E284" s="3"/>
      <c r="F284" s="3"/>
      <c r="I284" s="3"/>
    </row>
    <row r="285" spans="1:9">
      <c r="A285" s="3"/>
      <c r="B285" s="3"/>
      <c r="C285" s="3"/>
      <c r="D285" s="3"/>
      <c r="E285" s="3"/>
      <c r="F285" s="3"/>
      <c r="I285" s="3"/>
    </row>
    <row r="286" spans="1:9">
      <c r="A286" s="3"/>
      <c r="B286" s="3"/>
      <c r="C286" s="3"/>
      <c r="D286" s="3"/>
      <c r="E286" s="3"/>
      <c r="F286" s="3"/>
      <c r="I286" s="3"/>
    </row>
    <row r="287" spans="1:9">
      <c r="A287" s="3"/>
      <c r="B287" s="3"/>
      <c r="C287" s="3"/>
      <c r="D287" s="3"/>
      <c r="E287" s="3"/>
      <c r="F287" s="3"/>
      <c r="I287" s="3"/>
    </row>
    <row r="288" spans="1:9">
      <c r="A288" s="3"/>
      <c r="B288" s="3"/>
      <c r="C288" s="3"/>
      <c r="D288" s="3"/>
      <c r="E288" s="3"/>
      <c r="F288" s="3"/>
      <c r="I288" s="3"/>
    </row>
    <row r="289" spans="1:9">
      <c r="A289" s="3"/>
      <c r="B289" s="3"/>
      <c r="C289" s="3"/>
      <c r="D289" s="3"/>
      <c r="E289" s="3"/>
      <c r="F289" s="3"/>
      <c r="I289" s="3"/>
    </row>
    <row r="290" spans="1:9">
      <c r="A290" s="3"/>
      <c r="B290" s="3"/>
      <c r="C290" s="3"/>
      <c r="D290" s="3"/>
      <c r="E290" s="3"/>
      <c r="F290" s="3"/>
      <c r="I290" s="3"/>
    </row>
    <row r="291" spans="1:9">
      <c r="A291" s="3"/>
      <c r="B291" s="3"/>
      <c r="C291" s="3"/>
      <c r="D291" s="3"/>
      <c r="E291" s="3"/>
      <c r="F291" s="3"/>
      <c r="I291" s="3"/>
    </row>
    <row r="292" spans="1:9">
      <c r="A292" s="3"/>
      <c r="B292" s="3"/>
      <c r="C292" s="3"/>
      <c r="D292" s="3"/>
      <c r="E292" s="3"/>
      <c r="F292" s="3"/>
      <c r="I292" s="3"/>
    </row>
    <row r="293" spans="1:9">
      <c r="A293" s="3"/>
      <c r="B293" s="3"/>
      <c r="C293" s="3"/>
      <c r="D293" s="3"/>
      <c r="E293" s="3"/>
      <c r="F293" s="3"/>
      <c r="I293" s="3"/>
    </row>
    <row r="294" spans="1:9">
      <c r="A294" s="3"/>
      <c r="B294" s="3"/>
      <c r="C294" s="3"/>
      <c r="D294" s="3"/>
      <c r="E294" s="3"/>
      <c r="F294" s="3"/>
      <c r="I294" s="3"/>
    </row>
    <row r="295" spans="1:9">
      <c r="A295" s="3"/>
      <c r="B295" s="3"/>
      <c r="C295" s="3"/>
      <c r="D295" s="3"/>
      <c r="E295" s="3"/>
      <c r="F295" s="3"/>
      <c r="I295" s="3"/>
    </row>
    <row r="296" spans="1:9">
      <c r="A296" s="3"/>
      <c r="B296" s="3"/>
      <c r="C296" s="3"/>
      <c r="D296" s="3"/>
      <c r="E296" s="3"/>
      <c r="F296" s="3"/>
      <c r="I296" s="3"/>
    </row>
    <row r="297" spans="1:9">
      <c r="A297" s="3"/>
      <c r="B297" s="3"/>
      <c r="C297" s="3"/>
      <c r="D297" s="3"/>
      <c r="E297" s="3"/>
      <c r="F297" s="3"/>
      <c r="I297" s="3"/>
    </row>
    <row r="298" spans="1:9">
      <c r="A298" s="3"/>
      <c r="B298" s="3"/>
      <c r="C298" s="3"/>
      <c r="D298" s="3"/>
      <c r="E298" s="3"/>
      <c r="F298" s="3"/>
      <c r="I298" s="3"/>
    </row>
    <row r="299" spans="1:9">
      <c r="A299" s="3"/>
      <c r="B299" s="3"/>
      <c r="C299" s="3"/>
      <c r="D299" s="3"/>
      <c r="E299" s="3"/>
      <c r="F299" s="3"/>
      <c r="I299" s="3"/>
    </row>
    <row r="300" spans="1:9">
      <c r="A300" s="3"/>
      <c r="B300" s="3"/>
      <c r="C300" s="3"/>
      <c r="D300" s="3"/>
      <c r="E300" s="3"/>
      <c r="F300" s="3"/>
      <c r="I300" s="3"/>
    </row>
    <row r="301" spans="1:9">
      <c r="A301" s="3"/>
      <c r="B301" s="3"/>
      <c r="C301" s="3"/>
      <c r="D301" s="3"/>
      <c r="E301" s="3"/>
      <c r="F301" s="3"/>
      <c r="I301" s="3"/>
    </row>
    <row r="302" spans="1:9">
      <c r="A302" s="3"/>
      <c r="B302" s="3"/>
      <c r="C302" s="3"/>
      <c r="D302" s="3"/>
      <c r="E302" s="3"/>
      <c r="F302" s="3"/>
      <c r="I302" s="3"/>
    </row>
    <row r="303" spans="1:9">
      <c r="A303" s="3"/>
      <c r="B303" s="3"/>
      <c r="C303" s="3"/>
      <c r="D303" s="3"/>
      <c r="E303" s="3"/>
      <c r="F303" s="3"/>
      <c r="I303" s="3"/>
    </row>
    <row r="304" spans="1:9">
      <c r="A304" s="3"/>
      <c r="B304" s="3"/>
      <c r="C304" s="3"/>
      <c r="D304" s="3"/>
      <c r="E304" s="3"/>
      <c r="F304" s="3"/>
      <c r="I304" s="3"/>
    </row>
    <row r="305" spans="1:9">
      <c r="A305" s="3"/>
      <c r="B305" s="3"/>
      <c r="C305" s="3"/>
      <c r="D305" s="3"/>
      <c r="E305" s="3"/>
      <c r="F305" s="3"/>
      <c r="I305" s="3"/>
    </row>
    <row r="306" spans="1:9">
      <c r="A306" s="3"/>
      <c r="B306" s="3"/>
      <c r="C306" s="3"/>
      <c r="D306" s="3"/>
      <c r="E306" s="3"/>
      <c r="F306" s="3"/>
      <c r="I306" s="3"/>
    </row>
    <row r="307" spans="1:9">
      <c r="A307" s="3"/>
      <c r="B307" s="3"/>
      <c r="C307" s="3"/>
      <c r="D307" s="3"/>
      <c r="E307" s="3"/>
      <c r="F307" s="3"/>
      <c r="I307" s="3"/>
    </row>
    <row r="308" spans="1:9">
      <c r="A308" s="3"/>
      <c r="B308" s="3"/>
      <c r="C308" s="3"/>
      <c r="D308" s="3"/>
      <c r="E308" s="3"/>
      <c r="F308" s="3"/>
      <c r="I308" s="3"/>
    </row>
    <row r="309" spans="1:9">
      <c r="A309" s="3"/>
      <c r="B309" s="3"/>
      <c r="C309" s="3"/>
      <c r="D309" s="3"/>
      <c r="E309" s="3"/>
      <c r="F309" s="3"/>
      <c r="I309" s="3"/>
    </row>
    <row r="310" spans="1:9">
      <c r="A310" s="3"/>
      <c r="B310" s="3"/>
      <c r="C310" s="3"/>
      <c r="D310" s="3"/>
      <c r="E310" s="3"/>
      <c r="F310" s="3"/>
      <c r="I310" s="3"/>
    </row>
    <row r="311" spans="1:9">
      <c r="A311" s="3"/>
      <c r="B311" s="3"/>
      <c r="C311" s="3"/>
      <c r="D311" s="3"/>
      <c r="E311" s="3"/>
      <c r="F311" s="3"/>
      <c r="I311" s="3"/>
    </row>
    <row r="312" spans="1:9">
      <c r="A312" s="3"/>
      <c r="B312" s="3"/>
      <c r="C312" s="3"/>
      <c r="D312" s="3"/>
      <c r="E312" s="3"/>
      <c r="F312" s="3"/>
      <c r="I312" s="3"/>
    </row>
    <row r="313" spans="1:9">
      <c r="A313" s="3"/>
      <c r="B313" s="3"/>
      <c r="C313" s="3"/>
      <c r="D313" s="3"/>
      <c r="E313" s="3"/>
      <c r="F313" s="3"/>
      <c r="I313" s="3"/>
    </row>
    <row r="314" spans="1:9">
      <c r="A314" s="3"/>
      <c r="B314" s="3"/>
      <c r="C314" s="3"/>
      <c r="D314" s="3"/>
      <c r="E314" s="3"/>
      <c r="F314" s="3"/>
      <c r="I314" s="3"/>
    </row>
    <row r="315" spans="1:9">
      <c r="A315" s="3"/>
      <c r="B315" s="3"/>
      <c r="C315" s="3"/>
      <c r="D315" s="3"/>
      <c r="E315" s="3"/>
      <c r="F315" s="3"/>
      <c r="I315" s="3"/>
    </row>
    <row r="316" spans="1:9">
      <c r="A316" s="3"/>
      <c r="B316" s="3"/>
      <c r="C316" s="3"/>
      <c r="D316" s="3"/>
      <c r="E316" s="3"/>
      <c r="F316" s="3"/>
      <c r="I316" s="3"/>
    </row>
    <row r="317" spans="1:9">
      <c r="A317" s="3"/>
      <c r="B317" s="3"/>
      <c r="C317" s="3"/>
      <c r="D317" s="3"/>
      <c r="E317" s="3"/>
      <c r="F317" s="3"/>
      <c r="I317" s="3"/>
    </row>
    <row r="318" spans="1:9">
      <c r="A318" s="3"/>
      <c r="B318" s="3"/>
      <c r="C318" s="3"/>
      <c r="D318" s="3"/>
      <c r="E318" s="3"/>
      <c r="F318" s="3"/>
      <c r="I318" s="3"/>
    </row>
    <row r="319" spans="1:9">
      <c r="A319" s="3"/>
      <c r="B319" s="3"/>
      <c r="C319" s="3"/>
      <c r="D319" s="3"/>
      <c r="E319" s="3"/>
      <c r="F319" s="3"/>
      <c r="I319" s="3"/>
    </row>
    <row r="320" spans="1:9">
      <c r="A320" s="3"/>
      <c r="B320" s="3"/>
      <c r="C320" s="3"/>
      <c r="D320" s="3"/>
      <c r="E320" s="3"/>
      <c r="F320" s="3"/>
      <c r="I320" s="3"/>
    </row>
    <row r="321" spans="1:9">
      <c r="A321" s="3"/>
      <c r="B321" s="3"/>
      <c r="C321" s="3"/>
      <c r="D321" s="3"/>
      <c r="E321" s="3"/>
      <c r="F321" s="3"/>
      <c r="I321" s="3"/>
    </row>
    <row r="322" spans="1:9">
      <c r="A322" s="3"/>
      <c r="B322" s="3"/>
      <c r="C322" s="3"/>
      <c r="D322" s="3"/>
      <c r="E322" s="3"/>
      <c r="F322" s="3"/>
      <c r="I322" s="3"/>
    </row>
    <row r="323" spans="1:9">
      <c r="A323" s="3"/>
      <c r="B323" s="3"/>
      <c r="C323" s="3"/>
      <c r="D323" s="3"/>
      <c r="E323" s="3"/>
      <c r="F323" s="3"/>
      <c r="I323" s="3"/>
    </row>
    <row r="324" spans="1:9">
      <c r="A324" s="3"/>
      <c r="B324" s="3"/>
      <c r="C324" s="3"/>
      <c r="D324" s="3"/>
      <c r="E324" s="3"/>
      <c r="F324" s="3"/>
      <c r="I324" s="3"/>
    </row>
    <row r="325" spans="1:9">
      <c r="A325" s="3"/>
      <c r="B325" s="3"/>
      <c r="C325" s="3"/>
      <c r="D325" s="3"/>
      <c r="E325" s="3"/>
      <c r="F325" s="3"/>
      <c r="I325" s="3"/>
    </row>
    <row r="326" spans="1:9">
      <c r="A326" s="3"/>
      <c r="B326" s="3"/>
      <c r="C326" s="3"/>
      <c r="D326" s="3"/>
      <c r="E326" s="3"/>
      <c r="F326" s="3"/>
      <c r="I326" s="3"/>
    </row>
    <row r="327" spans="1:9">
      <c r="A327" s="3"/>
      <c r="B327" s="3"/>
      <c r="C327" s="3"/>
      <c r="D327" s="3"/>
      <c r="E327" s="3"/>
      <c r="F327" s="3"/>
      <c r="I327" s="3"/>
    </row>
    <row r="328" spans="1:9">
      <c r="A328" s="3"/>
      <c r="B328" s="3"/>
      <c r="C328" s="3"/>
      <c r="D328" s="3"/>
      <c r="E328" s="3"/>
      <c r="F328" s="3"/>
      <c r="I328" s="3"/>
    </row>
    <row r="329" spans="1:9">
      <c r="A329" s="3"/>
      <c r="B329" s="3"/>
      <c r="C329" s="3"/>
      <c r="D329" s="3"/>
      <c r="E329" s="3"/>
      <c r="F329" s="3"/>
      <c r="I329" s="3"/>
    </row>
    <row r="330" spans="1:9">
      <c r="A330" s="3"/>
      <c r="B330" s="3"/>
      <c r="C330" s="3"/>
      <c r="D330" s="3"/>
      <c r="E330" s="3"/>
      <c r="F330" s="3"/>
      <c r="I330" s="3"/>
    </row>
    <row r="331" spans="1:9">
      <c r="A331" s="3"/>
      <c r="B331" s="3"/>
      <c r="C331" s="3"/>
      <c r="D331" s="3"/>
      <c r="E331" s="3"/>
      <c r="F331" s="3"/>
      <c r="I331" s="3"/>
    </row>
    <row r="332" spans="1:9">
      <c r="A332" s="3"/>
      <c r="B332" s="3"/>
      <c r="C332" s="3"/>
      <c r="D332" s="3"/>
      <c r="E332" s="3"/>
      <c r="F332" s="3"/>
      <c r="I332" s="3"/>
    </row>
    <row r="333" spans="1:9">
      <c r="A333" s="3"/>
      <c r="B333" s="3"/>
      <c r="C333" s="3"/>
      <c r="D333" s="3"/>
      <c r="E333" s="3"/>
      <c r="F333" s="3"/>
      <c r="I333" s="3"/>
    </row>
    <row r="334" spans="1:9">
      <c r="A334" s="3"/>
      <c r="B334" s="3"/>
      <c r="C334" s="3"/>
      <c r="D334" s="3"/>
      <c r="E334" s="3"/>
      <c r="F334" s="3"/>
      <c r="I334" s="3"/>
    </row>
    <row r="335" spans="1:9">
      <c r="A335" s="3"/>
      <c r="B335" s="3"/>
      <c r="C335" s="3"/>
      <c r="D335" s="3"/>
      <c r="E335" s="3"/>
      <c r="F335" s="3"/>
      <c r="I335" s="3"/>
    </row>
    <row r="336" spans="1:9">
      <c r="A336" s="3"/>
      <c r="B336" s="3"/>
      <c r="C336" s="3"/>
      <c r="D336" s="3"/>
      <c r="E336" s="3"/>
      <c r="F336" s="3"/>
      <c r="I336" s="3"/>
    </row>
    <row r="337" spans="1:9">
      <c r="A337" s="3"/>
      <c r="B337" s="3"/>
      <c r="C337" s="3"/>
      <c r="D337" s="3"/>
      <c r="E337" s="3"/>
      <c r="F337" s="3"/>
      <c r="I337" s="3"/>
    </row>
    <row r="338" spans="1:9">
      <c r="A338" s="3"/>
      <c r="B338" s="3"/>
      <c r="C338" s="3"/>
      <c r="D338" s="3"/>
      <c r="E338" s="3"/>
      <c r="F338" s="3"/>
      <c r="I338" s="3"/>
    </row>
    <row r="339" spans="1:9">
      <c r="A339" s="3"/>
      <c r="B339" s="3"/>
      <c r="C339" s="3"/>
      <c r="D339" s="3"/>
      <c r="E339" s="3"/>
      <c r="F339" s="3"/>
      <c r="I339" s="3"/>
    </row>
    <row r="340" spans="1:9">
      <c r="A340" s="3"/>
      <c r="B340" s="3"/>
      <c r="C340" s="3"/>
      <c r="D340" s="3"/>
      <c r="E340" s="3"/>
      <c r="F340" s="3"/>
      <c r="I340" s="3"/>
    </row>
    <row r="341" spans="1:9">
      <c r="A341" s="3"/>
      <c r="B341" s="3"/>
      <c r="C341" s="3"/>
      <c r="D341" s="3"/>
      <c r="E341" s="3"/>
      <c r="F341" s="3"/>
      <c r="I341" s="3"/>
    </row>
    <row r="342" spans="1:9">
      <c r="A342" s="3"/>
      <c r="B342" s="3"/>
      <c r="C342" s="3"/>
      <c r="D342" s="3"/>
      <c r="E342" s="3"/>
      <c r="F342" s="3"/>
      <c r="I342" s="3"/>
    </row>
    <row r="343" spans="1:9">
      <c r="A343" s="3"/>
      <c r="B343" s="3"/>
      <c r="C343" s="3"/>
      <c r="D343" s="3"/>
      <c r="E343" s="3"/>
      <c r="F343" s="3"/>
      <c r="I343" s="3"/>
    </row>
    <row r="344" spans="1:9">
      <c r="A344" s="3"/>
      <c r="B344" s="3"/>
      <c r="C344" s="3"/>
      <c r="D344" s="3"/>
      <c r="E344" s="3"/>
      <c r="F344" s="3"/>
      <c r="I344" s="3"/>
    </row>
    <row r="345" spans="1:9">
      <c r="A345" s="3"/>
      <c r="B345" s="3"/>
      <c r="C345" s="3"/>
      <c r="D345" s="3"/>
      <c r="E345" s="3"/>
      <c r="F345" s="3"/>
      <c r="I345" s="3"/>
    </row>
    <row r="346" spans="1:9">
      <c r="A346" s="3"/>
      <c r="B346" s="3"/>
      <c r="C346" s="3"/>
      <c r="D346" s="3"/>
      <c r="E346" s="3"/>
      <c r="F346" s="3"/>
      <c r="I346" s="3"/>
    </row>
    <row r="347" spans="1:9">
      <c r="A347" s="3"/>
      <c r="B347" s="3"/>
      <c r="C347" s="3"/>
      <c r="D347" s="3"/>
      <c r="E347" s="3"/>
      <c r="F347" s="3"/>
      <c r="I347" s="3"/>
    </row>
    <row r="348" spans="1:9">
      <c r="A348" s="3"/>
      <c r="B348" s="3"/>
      <c r="C348" s="3"/>
      <c r="D348" s="3"/>
      <c r="E348" s="3"/>
      <c r="F348" s="3"/>
      <c r="I348" s="3"/>
    </row>
    <row r="349" spans="1:9">
      <c r="A349" s="3"/>
      <c r="B349" s="3"/>
      <c r="C349" s="3"/>
      <c r="D349" s="3"/>
      <c r="E349" s="3"/>
      <c r="F349" s="3"/>
      <c r="I349" s="3"/>
    </row>
    <row r="350" spans="1:9">
      <c r="A350" s="3"/>
      <c r="B350" s="3"/>
      <c r="C350" s="3"/>
      <c r="D350" s="3"/>
      <c r="E350" s="3"/>
      <c r="F350" s="3"/>
      <c r="I350" s="3"/>
    </row>
    <row r="351" spans="1:9">
      <c r="A351" s="3"/>
      <c r="B351" s="3"/>
      <c r="C351" s="3"/>
      <c r="D351" s="3"/>
      <c r="E351" s="3"/>
      <c r="F351" s="3"/>
      <c r="I351" s="3"/>
    </row>
    <row r="352" spans="1:9">
      <c r="A352" s="3"/>
      <c r="B352" s="3"/>
      <c r="C352" s="3"/>
      <c r="D352" s="3"/>
      <c r="E352" s="3"/>
      <c r="F352" s="3"/>
      <c r="I352" s="3"/>
    </row>
    <row r="353" spans="1:9">
      <c r="A353" s="3"/>
      <c r="B353" s="3"/>
      <c r="C353" s="3"/>
      <c r="D353" s="3"/>
      <c r="E353" s="3"/>
      <c r="F353" s="3"/>
      <c r="I353" s="3"/>
    </row>
    <row r="354" spans="1:9">
      <c r="A354" s="3"/>
      <c r="B354" s="3"/>
      <c r="C354" s="3"/>
      <c r="D354" s="3"/>
      <c r="E354" s="3"/>
      <c r="F354" s="3"/>
      <c r="I354" s="3"/>
    </row>
    <row r="355" spans="1:9">
      <c r="A355" s="3"/>
      <c r="B355" s="3"/>
      <c r="C355" s="3"/>
      <c r="D355" s="3"/>
      <c r="E355" s="3"/>
      <c r="F355" s="3"/>
      <c r="I355" s="3"/>
    </row>
    <row r="356" spans="1:9">
      <c r="A356" s="3"/>
      <c r="B356" s="3"/>
      <c r="C356" s="3"/>
      <c r="D356" s="3"/>
      <c r="E356" s="3"/>
      <c r="F356" s="3"/>
      <c r="I356" s="3"/>
    </row>
    <row r="357" spans="1:9">
      <c r="A357" s="3"/>
      <c r="B357" s="3"/>
      <c r="C357" s="3"/>
      <c r="D357" s="3"/>
      <c r="E357" s="3"/>
      <c r="F357" s="3"/>
      <c r="I357" s="3"/>
    </row>
    <row r="358" spans="1:9">
      <c r="A358" s="3"/>
      <c r="B358" s="3"/>
      <c r="C358" s="3"/>
      <c r="D358" s="3"/>
      <c r="E358" s="3"/>
      <c r="F358" s="3"/>
      <c r="I358" s="3"/>
    </row>
    <row r="359" spans="1:9">
      <c r="A359" s="3"/>
      <c r="B359" s="3"/>
      <c r="C359" s="3"/>
      <c r="D359" s="3"/>
      <c r="E359" s="3"/>
      <c r="F359" s="3"/>
      <c r="I359" s="3"/>
    </row>
    <row r="360" spans="1:9">
      <c r="A360" s="3"/>
      <c r="B360" s="3"/>
      <c r="C360" s="3"/>
      <c r="D360" s="3"/>
      <c r="E360" s="3"/>
      <c r="F360" s="3"/>
      <c r="I360" s="3"/>
    </row>
    <row r="361" spans="1:9">
      <c r="A361" s="3"/>
      <c r="B361" s="3"/>
      <c r="C361" s="3"/>
      <c r="D361" s="3"/>
      <c r="E361" s="3"/>
      <c r="F361" s="3"/>
      <c r="I361" s="3"/>
    </row>
    <row r="362" spans="1:9">
      <c r="A362" s="3"/>
      <c r="B362" s="3"/>
      <c r="C362" s="3"/>
      <c r="D362" s="3"/>
      <c r="E362" s="3"/>
      <c r="F362" s="3"/>
      <c r="I362" s="3"/>
    </row>
    <row r="363" spans="1:9">
      <c r="A363" s="3"/>
      <c r="B363" s="3"/>
      <c r="C363" s="3"/>
      <c r="D363" s="3"/>
      <c r="E363" s="3"/>
      <c r="F363" s="3"/>
      <c r="I363" s="3"/>
    </row>
    <row r="364" spans="1:9">
      <c r="A364" s="3"/>
      <c r="B364" s="3"/>
      <c r="C364" s="3"/>
      <c r="D364" s="3"/>
      <c r="E364" s="3"/>
      <c r="F364" s="3"/>
      <c r="I364" s="3"/>
    </row>
    <row r="365" spans="1:9">
      <c r="A365" s="3"/>
      <c r="B365" s="3"/>
      <c r="C365" s="3"/>
      <c r="D365" s="3"/>
      <c r="E365" s="3"/>
      <c r="F365" s="3"/>
      <c r="I365" s="3"/>
    </row>
    <row r="366" spans="1:9">
      <c r="A366" s="3"/>
      <c r="B366" s="3"/>
      <c r="C366" s="3"/>
      <c r="D366" s="3"/>
      <c r="E366" s="3"/>
      <c r="F366" s="3"/>
      <c r="I366" s="3"/>
    </row>
    <row r="367" spans="1:9">
      <c r="A367" s="3"/>
      <c r="B367" s="3"/>
      <c r="C367" s="3"/>
      <c r="D367" s="3"/>
      <c r="E367" s="3"/>
      <c r="F367" s="3"/>
      <c r="I367" s="3"/>
    </row>
    <row r="368" spans="1:9">
      <c r="A368" s="3"/>
      <c r="B368" s="3"/>
      <c r="C368" s="3"/>
      <c r="D368" s="3"/>
      <c r="E368" s="3"/>
      <c r="F368" s="3"/>
      <c r="I368" s="3"/>
    </row>
    <row r="369" spans="1:9">
      <c r="A369" s="3"/>
      <c r="B369" s="3"/>
      <c r="C369" s="3"/>
      <c r="D369" s="3"/>
      <c r="E369" s="3"/>
      <c r="F369" s="3"/>
      <c r="I369" s="3"/>
    </row>
    <row r="370" spans="1:9">
      <c r="A370" s="3"/>
      <c r="B370" s="3"/>
      <c r="C370" s="3"/>
      <c r="D370" s="3"/>
      <c r="E370" s="3"/>
      <c r="F370" s="3"/>
      <c r="I370" s="3"/>
    </row>
    <row r="371" spans="1:9">
      <c r="A371" s="3"/>
      <c r="B371" s="3"/>
      <c r="C371" s="3"/>
      <c r="D371" s="3"/>
      <c r="E371" s="3"/>
      <c r="F371" s="3"/>
      <c r="I371" s="3"/>
    </row>
    <row r="372" spans="1:9">
      <c r="A372" s="3"/>
      <c r="B372" s="3"/>
      <c r="C372" s="3"/>
      <c r="D372" s="3"/>
      <c r="E372" s="3"/>
      <c r="F372" s="3"/>
      <c r="I372" s="3"/>
    </row>
    <row r="373" spans="1:9">
      <c r="A373" s="3"/>
      <c r="B373" s="3"/>
      <c r="C373" s="3"/>
      <c r="D373" s="3"/>
      <c r="E373" s="3"/>
      <c r="F373" s="3"/>
      <c r="I373" s="3"/>
    </row>
    <row r="374" spans="1:9">
      <c r="A374" s="3"/>
      <c r="B374" s="3"/>
      <c r="C374" s="3"/>
      <c r="D374" s="3"/>
      <c r="E374" s="3"/>
      <c r="F374" s="3"/>
      <c r="I374" s="3"/>
    </row>
    <row r="375" spans="1:9">
      <c r="A375" s="3"/>
      <c r="B375" s="3"/>
      <c r="C375" s="3"/>
      <c r="D375" s="3"/>
      <c r="E375" s="3"/>
      <c r="F375" s="3"/>
      <c r="I375" s="3"/>
    </row>
    <row r="376" spans="1:9">
      <c r="A376" s="3"/>
      <c r="B376" s="3"/>
      <c r="C376" s="3"/>
      <c r="D376" s="3"/>
      <c r="E376" s="3"/>
      <c r="F376" s="3"/>
      <c r="I376" s="3"/>
    </row>
    <row r="377" spans="1:9">
      <c r="A377" s="3"/>
      <c r="B377" s="3"/>
      <c r="C377" s="3"/>
      <c r="D377" s="3"/>
      <c r="E377" s="3"/>
      <c r="F377" s="3"/>
      <c r="I377" s="3"/>
    </row>
    <row r="378" spans="1:9">
      <c r="A378" s="3"/>
      <c r="B378" s="3"/>
      <c r="C378" s="3"/>
      <c r="D378" s="3"/>
      <c r="E378" s="3"/>
      <c r="F378" s="3"/>
      <c r="I378" s="3"/>
    </row>
    <row r="379" spans="1:9">
      <c r="A379" s="3"/>
      <c r="B379" s="3"/>
      <c r="C379" s="3"/>
      <c r="D379" s="3"/>
      <c r="E379" s="3"/>
      <c r="F379" s="3"/>
      <c r="I379" s="3"/>
    </row>
    <row r="380" spans="1:9">
      <c r="A380" s="3"/>
      <c r="B380" s="3"/>
      <c r="C380" s="3"/>
      <c r="D380" s="3"/>
      <c r="E380" s="3"/>
      <c r="F380" s="3"/>
      <c r="I380" s="3"/>
    </row>
    <row r="381" spans="1:9">
      <c r="A381" s="3"/>
      <c r="B381" s="3"/>
      <c r="C381" s="3"/>
      <c r="D381" s="3"/>
      <c r="E381" s="3"/>
      <c r="F381" s="3"/>
      <c r="I381" s="3"/>
    </row>
    <row r="382" spans="1:9">
      <c r="A382" s="3"/>
      <c r="B382" s="3"/>
      <c r="C382" s="3"/>
      <c r="D382" s="3"/>
      <c r="E382" s="3"/>
      <c r="F382" s="3"/>
      <c r="I382" s="3"/>
    </row>
    <row r="383" spans="1:9">
      <c r="A383" s="3"/>
      <c r="B383" s="3"/>
      <c r="C383" s="3"/>
      <c r="D383" s="3"/>
      <c r="E383" s="3"/>
      <c r="F383" s="3"/>
      <c r="I383" s="3"/>
    </row>
    <row r="384" spans="1:9">
      <c r="A384" s="3"/>
      <c r="B384" s="3"/>
      <c r="C384" s="3"/>
      <c r="D384" s="3"/>
      <c r="E384" s="3"/>
      <c r="F384" s="3"/>
      <c r="I384" s="3"/>
    </row>
    <row r="385" spans="1:9">
      <c r="A385" s="3"/>
      <c r="B385" s="3"/>
      <c r="C385" s="3"/>
      <c r="D385" s="3"/>
      <c r="E385" s="3"/>
      <c r="F385" s="3"/>
      <c r="I385" s="3"/>
    </row>
    <row r="386" spans="1:9">
      <c r="A386" s="3"/>
      <c r="B386" s="3"/>
      <c r="C386" s="3"/>
      <c r="D386" s="3"/>
      <c r="E386" s="3"/>
      <c r="F386" s="3"/>
      <c r="I386" s="3"/>
    </row>
    <row r="387" spans="1:9">
      <c r="A387" s="3"/>
      <c r="B387" s="3"/>
      <c r="C387" s="3"/>
      <c r="D387" s="3"/>
      <c r="E387" s="3"/>
      <c r="F387" s="3"/>
      <c r="I387" s="3"/>
    </row>
    <row r="388" spans="1:9">
      <c r="A388" s="3"/>
      <c r="B388" s="3"/>
      <c r="C388" s="3"/>
      <c r="D388" s="3"/>
      <c r="E388" s="3"/>
      <c r="F388" s="3"/>
      <c r="I388" s="3"/>
    </row>
    <row r="389" spans="1:9">
      <c r="A389" s="3"/>
      <c r="B389" s="3"/>
      <c r="C389" s="3"/>
      <c r="D389" s="3"/>
      <c r="E389" s="3"/>
      <c r="F389" s="3"/>
      <c r="I389" s="3"/>
    </row>
    <row r="390" spans="1:9">
      <c r="A390" s="3"/>
      <c r="B390" s="3"/>
      <c r="C390" s="3"/>
      <c r="D390" s="3"/>
      <c r="E390" s="3"/>
      <c r="F390" s="3"/>
      <c r="I390" s="3"/>
    </row>
    <row r="391" spans="1:9">
      <c r="A391" s="3"/>
      <c r="B391" s="3"/>
      <c r="C391" s="3"/>
      <c r="D391" s="3"/>
      <c r="E391" s="3"/>
      <c r="F391" s="3"/>
      <c r="I391" s="3"/>
    </row>
    <row r="392" spans="1:9">
      <c r="A392" s="3"/>
      <c r="B392" s="3"/>
      <c r="C392" s="3"/>
      <c r="D392" s="3"/>
      <c r="E392" s="3"/>
      <c r="F392" s="3"/>
      <c r="I392" s="3"/>
    </row>
    <row r="393" spans="1:9">
      <c r="A393" s="3"/>
      <c r="B393" s="3"/>
      <c r="C393" s="3"/>
      <c r="D393" s="3"/>
      <c r="E393" s="3"/>
      <c r="F393" s="3"/>
      <c r="I393" s="3"/>
    </row>
    <row r="394" spans="1:9">
      <c r="A394" s="3"/>
      <c r="B394" s="3"/>
      <c r="C394" s="3"/>
      <c r="D394" s="3"/>
      <c r="E394" s="3"/>
      <c r="F394" s="3"/>
      <c r="I394" s="3"/>
    </row>
    <row r="395" spans="1:9">
      <c r="A395" s="3"/>
      <c r="B395" s="3"/>
      <c r="C395" s="3"/>
      <c r="D395" s="3"/>
      <c r="E395" s="3"/>
      <c r="F395" s="3"/>
      <c r="I395" s="3"/>
    </row>
    <row r="396" spans="1:9">
      <c r="A396" s="3"/>
      <c r="B396" s="3"/>
      <c r="C396" s="3"/>
      <c r="D396" s="3"/>
      <c r="E396" s="3"/>
      <c r="F396" s="3"/>
      <c r="I396" s="3"/>
    </row>
    <row r="397" spans="1:9">
      <c r="A397" s="3"/>
      <c r="B397" s="3"/>
      <c r="C397" s="3"/>
      <c r="D397" s="3"/>
      <c r="E397" s="3"/>
      <c r="F397" s="3"/>
      <c r="I397" s="3"/>
    </row>
    <row r="398" spans="1:9">
      <c r="A398" s="3"/>
      <c r="B398" s="3"/>
      <c r="C398" s="3"/>
      <c r="D398" s="3"/>
      <c r="E398" s="3"/>
      <c r="F398" s="3"/>
      <c r="I398" s="3"/>
    </row>
    <row r="399" spans="1:9">
      <c r="A399" s="3"/>
      <c r="B399" s="3"/>
      <c r="C399" s="3"/>
      <c r="D399" s="3"/>
      <c r="E399" s="3"/>
      <c r="F399" s="3"/>
      <c r="I399" s="3"/>
    </row>
    <row r="400" spans="1:9">
      <c r="A400" s="3"/>
      <c r="B400" s="3"/>
      <c r="C400" s="3"/>
      <c r="D400" s="3"/>
      <c r="E400" s="3"/>
      <c r="F400" s="3"/>
      <c r="I400" s="3"/>
    </row>
    <row r="401" spans="1:9">
      <c r="A401" s="3"/>
      <c r="B401" s="3"/>
      <c r="C401" s="3"/>
      <c r="D401" s="3"/>
      <c r="E401" s="3"/>
      <c r="F401" s="3"/>
      <c r="I401" s="3"/>
    </row>
    <row r="402" spans="1:9">
      <c r="A402" s="3"/>
      <c r="B402" s="3"/>
      <c r="C402" s="3"/>
      <c r="D402" s="3"/>
      <c r="E402" s="3"/>
      <c r="F402" s="3"/>
      <c r="I402" s="3"/>
    </row>
    <row r="403" spans="1:9">
      <c r="A403" s="3"/>
      <c r="B403" s="3"/>
      <c r="C403" s="3"/>
      <c r="D403" s="3"/>
      <c r="E403" s="3"/>
      <c r="F403" s="3"/>
      <c r="I403" s="3"/>
    </row>
    <row r="404" spans="1:9">
      <c r="A404" s="3"/>
      <c r="B404" s="3"/>
      <c r="C404" s="3"/>
      <c r="D404" s="3"/>
      <c r="E404" s="3"/>
      <c r="F404" s="3"/>
      <c r="I404" s="3"/>
    </row>
    <row r="405" spans="1:9">
      <c r="A405" s="3"/>
      <c r="B405" s="3"/>
      <c r="C405" s="3"/>
      <c r="D405" s="3"/>
      <c r="E405" s="3"/>
      <c r="F405" s="3"/>
      <c r="I405" s="3"/>
    </row>
    <row r="406" spans="1:9">
      <c r="A406" s="3"/>
      <c r="B406" s="3"/>
      <c r="C406" s="3"/>
      <c r="D406" s="3"/>
      <c r="E406" s="3"/>
      <c r="F406" s="3"/>
      <c r="I406" s="3"/>
    </row>
    <row r="407" spans="1:9">
      <c r="A407" s="3"/>
      <c r="B407" s="3"/>
      <c r="C407" s="3"/>
      <c r="D407" s="3"/>
      <c r="E407" s="3"/>
      <c r="F407" s="3"/>
      <c r="I407" s="3"/>
    </row>
    <row r="408" spans="1:9">
      <c r="A408" s="3"/>
      <c r="B408" s="3"/>
      <c r="C408" s="3"/>
      <c r="D408" s="3"/>
      <c r="E408" s="3"/>
      <c r="F408" s="3"/>
      <c r="I408" s="3"/>
    </row>
    <row r="409" spans="1:9">
      <c r="A409" s="3"/>
      <c r="B409" s="3"/>
      <c r="C409" s="3"/>
      <c r="D409" s="3"/>
      <c r="E409" s="3"/>
      <c r="F409" s="3"/>
      <c r="I409" s="3"/>
    </row>
    <row r="410" spans="1:9">
      <c r="A410" s="3"/>
      <c r="B410" s="3"/>
      <c r="C410" s="3"/>
      <c r="D410" s="3"/>
      <c r="E410" s="3"/>
      <c r="F410" s="3"/>
      <c r="I410" s="3"/>
    </row>
    <row r="411" spans="1:9">
      <c r="A411" s="3"/>
      <c r="B411" s="3"/>
      <c r="C411" s="3"/>
      <c r="D411" s="3"/>
      <c r="E411" s="3"/>
      <c r="F411" s="3"/>
      <c r="I411" s="3"/>
    </row>
    <row r="412" spans="1:9">
      <c r="A412" s="3"/>
      <c r="B412" s="3"/>
      <c r="C412" s="3"/>
      <c r="D412" s="3"/>
      <c r="E412" s="3"/>
      <c r="F412" s="3"/>
      <c r="I412" s="3"/>
    </row>
    <row r="413" spans="1:9">
      <c r="A413" s="3"/>
      <c r="B413" s="3"/>
      <c r="C413" s="3"/>
      <c r="D413" s="3"/>
      <c r="E413" s="3"/>
      <c r="F413" s="3"/>
      <c r="I413" s="3"/>
    </row>
    <row r="414" spans="1:9">
      <c r="A414" s="3"/>
      <c r="B414" s="3"/>
      <c r="C414" s="3"/>
      <c r="D414" s="3"/>
      <c r="E414" s="3"/>
      <c r="F414" s="3"/>
      <c r="I414" s="3"/>
    </row>
    <row r="415" spans="1:9">
      <c r="A415" s="3"/>
      <c r="B415" s="3"/>
      <c r="C415" s="3"/>
      <c r="D415" s="3"/>
      <c r="E415" s="3"/>
      <c r="F415" s="3"/>
      <c r="I415" s="3"/>
    </row>
    <row r="416" spans="1:9">
      <c r="A416" s="3"/>
      <c r="B416" s="3"/>
      <c r="C416" s="3"/>
      <c r="D416" s="3"/>
      <c r="E416" s="3"/>
      <c r="F416" s="3"/>
      <c r="I416" s="3"/>
    </row>
    <row r="417" spans="1:9">
      <c r="A417" s="3"/>
      <c r="B417" s="3"/>
      <c r="C417" s="3"/>
      <c r="D417" s="3"/>
      <c r="E417" s="3"/>
      <c r="F417" s="3"/>
      <c r="I417" s="3"/>
    </row>
    <row r="418" spans="1:9">
      <c r="A418" s="3"/>
      <c r="B418" s="3"/>
      <c r="C418" s="3"/>
      <c r="D418" s="3"/>
      <c r="E418" s="3"/>
      <c r="F418" s="3"/>
      <c r="I418" s="3"/>
    </row>
    <row r="419" spans="1:9">
      <c r="A419" s="3"/>
      <c r="B419" s="3"/>
      <c r="C419" s="3"/>
      <c r="D419" s="3"/>
      <c r="E419" s="3"/>
      <c r="F419" s="3"/>
      <c r="I419" s="3"/>
    </row>
    <row r="420" spans="1:9">
      <c r="A420" s="3"/>
      <c r="B420" s="3"/>
      <c r="C420" s="3"/>
      <c r="D420" s="3"/>
      <c r="E420" s="3"/>
      <c r="F420" s="3"/>
      <c r="I420" s="3"/>
    </row>
    <row r="421" spans="1:9">
      <c r="A421" s="3"/>
      <c r="B421" s="3"/>
      <c r="C421" s="3"/>
      <c r="D421" s="3"/>
      <c r="E421" s="3"/>
      <c r="F421" s="3"/>
      <c r="I421" s="3"/>
    </row>
    <row r="422" spans="1:9">
      <c r="A422" s="3"/>
      <c r="B422" s="3"/>
      <c r="C422" s="3"/>
      <c r="D422" s="3"/>
      <c r="E422" s="3"/>
      <c r="F422" s="3"/>
      <c r="I422" s="3"/>
    </row>
    <row r="423" spans="1:9">
      <c r="A423" s="3"/>
      <c r="B423" s="3"/>
      <c r="C423" s="3"/>
      <c r="D423" s="3"/>
      <c r="E423" s="3"/>
      <c r="F423" s="3"/>
      <c r="I423" s="3"/>
    </row>
    <row r="424" spans="1:9">
      <c r="A424" s="3"/>
      <c r="B424" s="3"/>
      <c r="C424" s="3"/>
      <c r="D424" s="3"/>
      <c r="E424" s="3"/>
      <c r="F424" s="3"/>
      <c r="I424" s="3"/>
    </row>
    <row r="425" spans="1:9">
      <c r="A425" s="3"/>
      <c r="B425" s="3"/>
      <c r="C425" s="3"/>
      <c r="D425" s="3"/>
      <c r="E425" s="3"/>
      <c r="F425" s="3"/>
      <c r="I425" s="3"/>
    </row>
    <row r="426" spans="1:9">
      <c r="A426" s="3"/>
      <c r="B426" s="3"/>
      <c r="C426" s="3"/>
      <c r="D426" s="3"/>
      <c r="E426" s="3"/>
      <c r="F426" s="3"/>
      <c r="I426" s="3"/>
    </row>
    <row r="427" spans="1:9">
      <c r="A427" s="3"/>
      <c r="B427" s="3"/>
      <c r="C427" s="3"/>
      <c r="D427" s="3"/>
      <c r="E427" s="3"/>
      <c r="F427" s="3"/>
      <c r="I427" s="3"/>
    </row>
    <row r="428" spans="1:9">
      <c r="A428" s="3"/>
      <c r="B428" s="3"/>
      <c r="C428" s="3"/>
      <c r="D428" s="3"/>
      <c r="E428" s="3"/>
      <c r="F428" s="3"/>
      <c r="I428" s="3"/>
    </row>
    <row r="429" spans="1:9">
      <c r="A429" s="3"/>
      <c r="B429" s="3"/>
      <c r="C429" s="3"/>
      <c r="D429" s="3"/>
      <c r="E429" s="3"/>
      <c r="F429" s="3"/>
      <c r="I429" s="3"/>
    </row>
    <row r="430" spans="1:9">
      <c r="A430" s="3"/>
      <c r="B430" s="3"/>
      <c r="C430" s="3"/>
      <c r="D430" s="3"/>
      <c r="E430" s="3"/>
      <c r="F430" s="3"/>
      <c r="I430" s="3"/>
    </row>
    <row r="431" spans="1:9">
      <c r="A431" s="3"/>
      <c r="B431" s="3"/>
      <c r="C431" s="3"/>
      <c r="D431" s="3"/>
      <c r="E431" s="3"/>
      <c r="F431" s="3"/>
      <c r="I431" s="3"/>
    </row>
    <row r="432" spans="1:9">
      <c r="A432" s="3"/>
      <c r="B432" s="3"/>
      <c r="C432" s="3"/>
      <c r="D432" s="3"/>
      <c r="E432" s="3"/>
      <c r="F432" s="3"/>
      <c r="I432" s="3"/>
    </row>
    <row r="433" spans="1:9">
      <c r="A433" s="3"/>
      <c r="B433" s="3"/>
      <c r="C433" s="3"/>
      <c r="D433" s="3"/>
      <c r="E433" s="3"/>
      <c r="F433" s="3"/>
      <c r="I433" s="3"/>
    </row>
    <row r="434" spans="1:9">
      <c r="A434" s="3"/>
      <c r="B434" s="3"/>
      <c r="C434" s="3"/>
      <c r="D434" s="3"/>
      <c r="E434" s="3"/>
      <c r="F434" s="3"/>
      <c r="I434" s="3"/>
    </row>
    <row r="435" spans="1:9">
      <c r="A435" s="3"/>
      <c r="B435" s="3"/>
      <c r="C435" s="3"/>
      <c r="D435" s="3"/>
      <c r="E435" s="3"/>
      <c r="F435" s="3"/>
      <c r="I435" s="3"/>
    </row>
    <row r="436" spans="1:9">
      <c r="A436" s="3"/>
      <c r="B436" s="3"/>
      <c r="C436" s="3"/>
      <c r="D436" s="3"/>
      <c r="E436" s="3"/>
      <c r="F436" s="3"/>
      <c r="I436" s="3"/>
    </row>
    <row r="437" spans="1:9">
      <c r="A437" s="3"/>
      <c r="B437" s="3"/>
      <c r="C437" s="3"/>
      <c r="D437" s="3"/>
      <c r="E437" s="3"/>
      <c r="F437" s="3"/>
      <c r="I437" s="3"/>
    </row>
    <row r="438" spans="1:9">
      <c r="A438" s="3"/>
      <c r="B438" s="3"/>
      <c r="C438" s="3"/>
      <c r="D438" s="3"/>
      <c r="E438" s="3"/>
      <c r="F438" s="3"/>
      <c r="I438" s="3"/>
    </row>
    <row r="439" spans="1:9">
      <c r="A439" s="3"/>
      <c r="B439" s="3"/>
      <c r="C439" s="3"/>
      <c r="D439" s="3"/>
      <c r="E439" s="3"/>
      <c r="F439" s="3"/>
      <c r="I439" s="3"/>
    </row>
    <row r="440" spans="1:9">
      <c r="A440" s="3"/>
      <c r="B440" s="3"/>
      <c r="C440" s="3"/>
      <c r="D440" s="3"/>
      <c r="E440" s="3"/>
      <c r="F440" s="3"/>
      <c r="I440" s="3"/>
    </row>
    <row r="441" spans="1:9">
      <c r="A441" s="3"/>
      <c r="B441" s="3"/>
      <c r="C441" s="3"/>
      <c r="D441" s="3"/>
      <c r="E441" s="3"/>
      <c r="F441" s="3"/>
      <c r="I441" s="3"/>
    </row>
    <row r="442" spans="1:9">
      <c r="A442" s="3"/>
      <c r="B442" s="3"/>
      <c r="C442" s="3"/>
      <c r="D442" s="3"/>
      <c r="E442" s="3"/>
      <c r="F442" s="3"/>
      <c r="I442" s="3"/>
    </row>
    <row r="443" spans="1:9">
      <c r="A443" s="3"/>
      <c r="B443" s="3"/>
      <c r="C443" s="3"/>
      <c r="D443" s="3"/>
      <c r="E443" s="3"/>
      <c r="F443" s="3"/>
      <c r="I443" s="3"/>
    </row>
    <row r="444" spans="1:9">
      <c r="A444" s="3"/>
      <c r="B444" s="3"/>
      <c r="C444" s="3"/>
      <c r="D444" s="3"/>
      <c r="E444" s="3"/>
      <c r="F444" s="3"/>
      <c r="I444" s="3"/>
    </row>
    <row r="445" spans="1:9">
      <c r="A445" s="3"/>
      <c r="B445" s="3"/>
      <c r="C445" s="3"/>
      <c r="D445" s="3"/>
      <c r="E445" s="3"/>
      <c r="F445" s="3"/>
      <c r="I445" s="3"/>
    </row>
    <row r="446" spans="1:9">
      <c r="A446" s="3"/>
      <c r="B446" s="3"/>
      <c r="C446" s="3"/>
      <c r="D446" s="3"/>
      <c r="E446" s="3"/>
      <c r="F446" s="3"/>
      <c r="I446" s="3"/>
    </row>
    <row r="447" spans="1:9">
      <c r="A447" s="3"/>
      <c r="B447" s="3"/>
      <c r="C447" s="3"/>
      <c r="D447" s="3"/>
      <c r="E447" s="3"/>
      <c r="F447" s="3"/>
      <c r="I447" s="3"/>
    </row>
    <row r="448" spans="1:9">
      <c r="A448" s="3"/>
      <c r="B448" s="3"/>
      <c r="C448" s="3"/>
      <c r="D448" s="3"/>
      <c r="E448" s="3"/>
      <c r="F448" s="3"/>
      <c r="I448" s="3"/>
    </row>
    <row r="449" spans="1:9">
      <c r="A449" s="3"/>
      <c r="B449" s="3"/>
      <c r="C449" s="3"/>
      <c r="D449" s="3"/>
      <c r="E449" s="3"/>
      <c r="F449" s="3"/>
      <c r="I449" s="3"/>
    </row>
    <row r="450" spans="1:9">
      <c r="A450" s="3"/>
      <c r="B450" s="3"/>
      <c r="C450" s="3"/>
      <c r="D450" s="3"/>
      <c r="E450" s="3"/>
      <c r="F450" s="3"/>
      <c r="I450" s="3"/>
    </row>
    <row r="451" spans="1:9">
      <c r="A451" s="3"/>
      <c r="B451" s="3"/>
      <c r="C451" s="3"/>
      <c r="D451" s="3"/>
      <c r="E451" s="3"/>
      <c r="F451" s="3"/>
      <c r="I451" s="3"/>
    </row>
    <row r="452" spans="1:9">
      <c r="A452" s="3"/>
      <c r="B452" s="3"/>
      <c r="C452" s="3"/>
      <c r="D452" s="3"/>
      <c r="E452" s="3"/>
      <c r="F452" s="3"/>
      <c r="I452" s="3"/>
    </row>
    <row r="453" spans="1:9">
      <c r="A453" s="3"/>
      <c r="B453" s="3"/>
      <c r="C453" s="3"/>
      <c r="D453" s="3"/>
      <c r="E453" s="3"/>
      <c r="F453" s="3"/>
      <c r="I453" s="3"/>
    </row>
    <row r="454" spans="1:9">
      <c r="A454" s="3"/>
      <c r="B454" s="3"/>
      <c r="C454" s="3"/>
      <c r="D454" s="3"/>
      <c r="E454" s="3"/>
      <c r="F454" s="3"/>
      <c r="I454" s="3"/>
    </row>
    <row r="455" spans="1:9">
      <c r="A455" s="3"/>
      <c r="B455" s="3"/>
      <c r="C455" s="3"/>
      <c r="D455" s="3"/>
      <c r="E455" s="3"/>
      <c r="F455" s="3"/>
      <c r="I455" s="3"/>
    </row>
    <row r="456" spans="1:9">
      <c r="A456" s="3"/>
      <c r="B456" s="3"/>
      <c r="C456" s="3"/>
      <c r="D456" s="3"/>
      <c r="E456" s="3"/>
      <c r="F456" s="3"/>
      <c r="I456" s="3"/>
    </row>
    <row r="457" spans="1:9">
      <c r="A457" s="3"/>
      <c r="B457" s="3"/>
      <c r="C457" s="3"/>
      <c r="D457" s="3"/>
      <c r="E457" s="3"/>
      <c r="F457" s="3"/>
      <c r="I457" s="3"/>
    </row>
    <row r="458" spans="1:9">
      <c r="A458" s="3"/>
      <c r="B458" s="3"/>
      <c r="C458" s="3"/>
      <c r="D458" s="3"/>
      <c r="E458" s="3"/>
      <c r="F458" s="3"/>
      <c r="I458" s="3"/>
    </row>
    <row r="459" spans="1:9">
      <c r="A459" s="3"/>
      <c r="B459" s="3"/>
      <c r="C459" s="3"/>
      <c r="D459" s="3"/>
      <c r="E459" s="3"/>
      <c r="F459" s="3"/>
      <c r="I459" s="3"/>
    </row>
    <row r="460" spans="1:9">
      <c r="A460" s="3"/>
      <c r="B460" s="3"/>
      <c r="C460" s="3"/>
      <c r="D460" s="3"/>
      <c r="E460" s="3"/>
      <c r="F460" s="3"/>
      <c r="I460" s="3"/>
    </row>
    <row r="461" spans="1:9">
      <c r="A461" s="3"/>
      <c r="B461" s="3"/>
      <c r="C461" s="3"/>
      <c r="D461" s="3"/>
      <c r="E461" s="3"/>
      <c r="F461" s="3"/>
      <c r="I461" s="3"/>
    </row>
    <row r="462" spans="1:9">
      <c r="A462" s="3"/>
      <c r="B462" s="3"/>
      <c r="C462" s="3"/>
      <c r="D462" s="3"/>
      <c r="E462" s="3"/>
      <c r="F462" s="3"/>
      <c r="I462" s="3"/>
    </row>
    <row r="463" spans="1:9">
      <c r="A463" s="3"/>
      <c r="B463" s="3"/>
      <c r="C463" s="3"/>
      <c r="D463" s="3"/>
      <c r="E463" s="3"/>
      <c r="F463" s="3"/>
      <c r="I463" s="3"/>
    </row>
    <row r="464" spans="1:9">
      <c r="A464" s="3"/>
      <c r="B464" s="3"/>
      <c r="C464" s="3"/>
      <c r="D464" s="3"/>
      <c r="E464" s="3"/>
      <c r="F464" s="3"/>
      <c r="I464" s="3"/>
    </row>
    <row r="465" spans="1:9">
      <c r="A465" s="3"/>
      <c r="B465" s="3"/>
      <c r="C465" s="3"/>
      <c r="D465" s="3"/>
      <c r="E465" s="3"/>
      <c r="F465" s="3"/>
      <c r="I465" s="3"/>
    </row>
    <row r="466" spans="1:9">
      <c r="A466" s="3"/>
      <c r="B466" s="3"/>
      <c r="C466" s="3"/>
      <c r="D466" s="3"/>
      <c r="E466" s="3"/>
      <c r="F466" s="3"/>
      <c r="I466" s="3"/>
    </row>
    <row r="467" spans="1:9">
      <c r="A467" s="3"/>
      <c r="B467" s="3"/>
      <c r="C467" s="3"/>
      <c r="D467" s="3"/>
      <c r="E467" s="3"/>
      <c r="F467" s="3"/>
      <c r="I467" s="3"/>
    </row>
    <row r="468" spans="1:9">
      <c r="A468" s="3"/>
      <c r="B468" s="3"/>
      <c r="C468" s="3"/>
      <c r="D468" s="3"/>
      <c r="E468" s="3"/>
      <c r="F468" s="3"/>
      <c r="I468" s="3"/>
    </row>
    <row r="469" spans="1:9">
      <c r="A469" s="3"/>
      <c r="B469" s="3"/>
      <c r="C469" s="3"/>
      <c r="D469" s="3"/>
      <c r="E469" s="3"/>
      <c r="F469" s="3"/>
      <c r="I469" s="3"/>
    </row>
    <row r="470" spans="1:9">
      <c r="A470" s="3"/>
      <c r="B470" s="3"/>
      <c r="C470" s="3"/>
      <c r="D470" s="3"/>
      <c r="E470" s="3"/>
      <c r="F470" s="3"/>
      <c r="I470" s="3"/>
    </row>
    <row r="471" spans="1:9">
      <c r="A471" s="3"/>
      <c r="B471" s="3"/>
      <c r="C471" s="3"/>
      <c r="D471" s="3"/>
      <c r="E471" s="3"/>
      <c r="F471" s="3"/>
      <c r="I471" s="3"/>
    </row>
    <row r="472" spans="1:9">
      <c r="A472" s="3"/>
      <c r="B472" s="3"/>
      <c r="C472" s="3"/>
      <c r="D472" s="3"/>
      <c r="E472" s="3"/>
      <c r="F472" s="3"/>
      <c r="I472" s="3"/>
    </row>
    <row r="473" spans="1:9">
      <c r="A473" s="3"/>
      <c r="B473" s="3"/>
      <c r="C473" s="3"/>
      <c r="D473" s="3"/>
      <c r="E473" s="3"/>
      <c r="F473" s="3"/>
      <c r="I473" s="3"/>
    </row>
    <row r="474" spans="1:9">
      <c r="A474" s="3"/>
      <c r="B474" s="3"/>
      <c r="C474" s="3"/>
      <c r="D474" s="3"/>
      <c r="E474" s="3"/>
      <c r="F474" s="3"/>
      <c r="I474" s="3"/>
    </row>
    <row r="475" spans="1:9">
      <c r="A475" s="3"/>
      <c r="B475" s="3"/>
      <c r="C475" s="3"/>
      <c r="D475" s="3"/>
      <c r="E475" s="3"/>
      <c r="F475" s="3"/>
      <c r="I475" s="3"/>
    </row>
    <row r="476" spans="1:9">
      <c r="A476" s="3"/>
      <c r="B476" s="3"/>
      <c r="C476" s="3"/>
      <c r="D476" s="3"/>
      <c r="E476" s="3"/>
      <c r="F476" s="3"/>
      <c r="I476" s="3"/>
    </row>
    <row r="477" spans="1:9">
      <c r="A477" s="3"/>
      <c r="B477" s="3"/>
      <c r="C477" s="3"/>
      <c r="D477" s="3"/>
      <c r="E477" s="3"/>
      <c r="F477" s="3"/>
      <c r="I477" s="3"/>
    </row>
    <row r="478" spans="1:9">
      <c r="A478" s="3"/>
      <c r="B478" s="3"/>
      <c r="C478" s="3"/>
      <c r="D478" s="3"/>
      <c r="E478" s="3"/>
      <c r="F478" s="3"/>
      <c r="I478" s="3"/>
    </row>
    <row r="479" spans="1:9">
      <c r="A479" s="3"/>
      <c r="B479" s="3"/>
      <c r="C479" s="3"/>
      <c r="D479" s="3"/>
      <c r="E479" s="3"/>
      <c r="F479" s="3"/>
      <c r="I479" s="3"/>
    </row>
    <row r="480" spans="1:9">
      <c r="A480" s="3"/>
      <c r="B480" s="3"/>
      <c r="C480" s="3"/>
      <c r="D480" s="3"/>
      <c r="E480" s="3"/>
      <c r="F480" s="3"/>
      <c r="I480" s="3"/>
    </row>
    <row r="481" spans="1:9">
      <c r="A481" s="3"/>
      <c r="B481" s="3"/>
      <c r="C481" s="3"/>
      <c r="D481" s="3"/>
      <c r="E481" s="3"/>
      <c r="F481" s="3"/>
      <c r="I481" s="3"/>
    </row>
    <row r="482" spans="1:9">
      <c r="A482" s="3"/>
      <c r="B482" s="3"/>
      <c r="C482" s="3"/>
      <c r="D482" s="3"/>
      <c r="E482" s="3"/>
      <c r="F482" s="3"/>
      <c r="I482" s="3"/>
    </row>
    <row r="483" spans="1:9">
      <c r="A483" s="3"/>
      <c r="B483" s="3"/>
      <c r="C483" s="3"/>
      <c r="D483" s="3"/>
      <c r="E483" s="3"/>
      <c r="F483" s="3"/>
      <c r="I483" s="3"/>
    </row>
    <row r="484" spans="1:9">
      <c r="A484" s="3"/>
      <c r="B484" s="3"/>
      <c r="C484" s="3"/>
      <c r="D484" s="3"/>
      <c r="E484" s="3"/>
      <c r="F484" s="3"/>
      <c r="I484" s="3"/>
    </row>
    <row r="485" spans="1:9">
      <c r="A485" s="3"/>
      <c r="B485" s="3"/>
      <c r="C485" s="3"/>
      <c r="D485" s="3"/>
      <c r="E485" s="3"/>
      <c r="F485" s="3"/>
      <c r="I485" s="3"/>
    </row>
    <row r="486" spans="1:9">
      <c r="A486" s="3"/>
      <c r="B486" s="3"/>
      <c r="C486" s="3"/>
      <c r="D486" s="3"/>
      <c r="E486" s="3"/>
      <c r="F486" s="3"/>
      <c r="I486" s="3"/>
    </row>
    <row r="487" spans="1:9">
      <c r="A487" s="3"/>
      <c r="B487" s="3"/>
      <c r="C487" s="3"/>
      <c r="D487" s="3"/>
      <c r="E487" s="3"/>
      <c r="F487" s="3"/>
      <c r="I487" s="3"/>
    </row>
    <row r="488" spans="1:9">
      <c r="A488" s="3"/>
      <c r="B488" s="3"/>
      <c r="C488" s="3"/>
      <c r="D488" s="3"/>
      <c r="E488" s="3"/>
      <c r="F488" s="3"/>
      <c r="I488" s="3"/>
    </row>
    <row r="489" spans="1:9">
      <c r="A489" s="3"/>
      <c r="B489" s="3"/>
      <c r="C489" s="3"/>
      <c r="D489" s="3"/>
      <c r="E489" s="3"/>
      <c r="F489" s="3"/>
      <c r="I489" s="3"/>
    </row>
    <row r="490" spans="1:9">
      <c r="A490" s="3"/>
      <c r="B490" s="3"/>
      <c r="C490" s="3"/>
      <c r="D490" s="3"/>
      <c r="E490" s="3"/>
      <c r="F490" s="3"/>
      <c r="I490" s="3"/>
    </row>
    <row r="491" spans="1:9">
      <c r="A491" s="3"/>
      <c r="B491" s="3"/>
      <c r="C491" s="3"/>
      <c r="D491" s="3"/>
      <c r="E491" s="3"/>
      <c r="F491" s="3"/>
      <c r="I491" s="3"/>
    </row>
    <row r="492" spans="1:9">
      <c r="A492" s="3"/>
      <c r="B492" s="3"/>
      <c r="C492" s="3"/>
      <c r="D492" s="3"/>
      <c r="E492" s="3"/>
      <c r="F492" s="3"/>
      <c r="I492" s="3"/>
    </row>
    <row r="493" spans="1:9">
      <c r="A493" s="3"/>
      <c r="B493" s="3"/>
      <c r="C493" s="3"/>
      <c r="D493" s="3"/>
      <c r="E493" s="3"/>
      <c r="F493" s="3"/>
      <c r="I493" s="3"/>
    </row>
    <row r="494" spans="1:9">
      <c r="A494" s="3"/>
      <c r="B494" s="3"/>
      <c r="C494" s="3"/>
      <c r="D494" s="3"/>
      <c r="E494" s="3"/>
      <c r="F494" s="3"/>
      <c r="I494" s="3"/>
    </row>
    <row r="495" spans="1:9">
      <c r="A495" s="3"/>
      <c r="B495" s="3"/>
      <c r="C495" s="3"/>
      <c r="D495" s="3"/>
      <c r="E495" s="3"/>
      <c r="F495" s="3"/>
      <c r="I495" s="3"/>
    </row>
    <row r="496" spans="1:9">
      <c r="A496" s="3"/>
      <c r="B496" s="3"/>
      <c r="C496" s="3"/>
      <c r="D496" s="3"/>
      <c r="E496" s="3"/>
      <c r="F496" s="3"/>
      <c r="I496" s="3"/>
    </row>
    <row r="497" spans="1:9">
      <c r="A497" s="3"/>
      <c r="B497" s="3"/>
      <c r="C497" s="3"/>
      <c r="D497" s="3"/>
      <c r="E497" s="3"/>
      <c r="F497" s="3"/>
      <c r="I497" s="3"/>
    </row>
    <row r="498" spans="1:9">
      <c r="A498" s="3"/>
      <c r="B498" s="3"/>
      <c r="C498" s="3"/>
      <c r="D498" s="3"/>
      <c r="E498" s="3"/>
      <c r="F498" s="3"/>
      <c r="I498" s="3"/>
    </row>
  </sheetData>
  <mergeCells count="2">
    <mergeCell ref="B7:E7"/>
    <mergeCell ref="B10:E10"/>
  </mergeCells>
  <dataValidations count="2">
    <dataValidation type="list" allowBlank="1" showErrorMessage="1" sqref="B2:E2">
      <formula1>"是,否"</formula1>
    </dataValidation>
    <dataValidation type="list" allowBlank="1" showErrorMessage="1" sqref="B4:E4">
      <formula1>"(标准)无保留意见,带强调事项段或其他事项段的无保留意见,保留意见,否定意见,无法表示意见"</formula1>
    </dataValidation>
  </dataValidations>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1"/>
  <sheetViews>
    <sheetView workbookViewId="0">
      <pane xSplit="1" topLeftCell="B1" activePane="topRight" state="frozen"/>
      <selection/>
      <selection pane="topRight" activeCell="N45" sqref="N$1:N$1048576"/>
    </sheetView>
  </sheetViews>
  <sheetFormatPr defaultColWidth="9.07352941176471" defaultRowHeight="15" customHeight="1"/>
  <cols>
    <col min="1" max="1" width="30.9264705882353" style="31" customWidth="1"/>
    <col min="2" max="5" width="18.9264705882353" style="51" customWidth="1"/>
    <col min="7" max="7" width="12.5294117647059" customWidth="1"/>
    <col min="8" max="8" width="30.9264705882353" style="31" customWidth="1"/>
    <col min="9" max="12" width="18.9264705882353" style="52" customWidth="1"/>
    <col min="13" max="13" width="12.8602941176471" customWidth="1"/>
  </cols>
  <sheetData>
    <row r="1" ht="19.5" customHeight="1" spans="1:12">
      <c r="A1" s="80" t="s">
        <v>6</v>
      </c>
      <c r="B1" s="81" t="str">
        <f>基本信息!B1</f>
        <v>最新一期</v>
      </c>
      <c r="C1" s="81" t="str">
        <f>基本信息!C1</f>
        <v>20xx年</v>
      </c>
      <c r="D1" s="81" t="str">
        <f>基本信息!D1</f>
        <v>20xx年</v>
      </c>
      <c r="E1" s="82" t="str">
        <f>基本信息!E1</f>
        <v>20xx年</v>
      </c>
      <c r="H1" s="83" t="s">
        <v>7</v>
      </c>
      <c r="I1" s="84" t="str">
        <f>B1</f>
        <v>最新一期</v>
      </c>
      <c r="J1" s="84" t="str">
        <f>C1</f>
        <v>20xx年</v>
      </c>
      <c r="K1" s="84" t="str">
        <f>D1</f>
        <v>20xx年</v>
      </c>
      <c r="L1" s="84" t="str">
        <f>E1</f>
        <v>20xx年</v>
      </c>
    </row>
    <row r="2" ht="13.5" customHeight="1" spans="1:12">
      <c r="A2" s="85" t="s">
        <v>8</v>
      </c>
      <c r="B2" s="86" t="s">
        <v>9</v>
      </c>
      <c r="C2" s="86" t="s">
        <v>9</v>
      </c>
      <c r="D2" s="86" t="s">
        <v>9</v>
      </c>
      <c r="E2" s="86" t="s">
        <v>9</v>
      </c>
      <c r="F2" s="39"/>
      <c r="H2" s="87" t="s">
        <v>8</v>
      </c>
      <c r="I2" s="86" t="s">
        <v>9</v>
      </c>
      <c r="J2" s="86" t="s">
        <v>9</v>
      </c>
      <c r="K2" s="86" t="s">
        <v>9</v>
      </c>
      <c r="L2" s="86" t="s">
        <v>9</v>
      </c>
    </row>
    <row r="3" ht="13.5" customHeight="1" spans="1:12">
      <c r="A3" s="88" t="s">
        <v>10</v>
      </c>
      <c r="B3" s="38"/>
      <c r="C3" s="38"/>
      <c r="D3" s="38"/>
      <c r="E3" s="38"/>
      <c r="F3" s="39"/>
      <c r="H3" s="89" t="s">
        <v>10</v>
      </c>
      <c r="I3" s="38">
        <f t="shared" ref="I3:I15" si="0">B3/10000</f>
        <v>0</v>
      </c>
      <c r="J3" s="38">
        <f t="shared" ref="J3:J15" si="1">C3/10000</f>
        <v>0</v>
      </c>
      <c r="K3" s="38">
        <f t="shared" ref="K3:K15" si="2">D3/10000</f>
        <v>0</v>
      </c>
      <c r="L3" s="38">
        <f t="shared" ref="L3:L15" si="3">E3/10000</f>
        <v>0</v>
      </c>
    </row>
    <row r="4" ht="13.5" customHeight="1" spans="1:12">
      <c r="A4" s="88" t="s">
        <v>11</v>
      </c>
      <c r="B4" s="38"/>
      <c r="C4" s="38"/>
      <c r="D4" s="38"/>
      <c r="E4" s="38"/>
      <c r="F4" s="39"/>
      <c r="H4" s="89" t="s">
        <v>11</v>
      </c>
      <c r="I4" s="38">
        <f t="shared" si="0"/>
        <v>0</v>
      </c>
      <c r="J4" s="38">
        <f t="shared" si="1"/>
        <v>0</v>
      </c>
      <c r="K4" s="38">
        <f t="shared" si="2"/>
        <v>0</v>
      </c>
      <c r="L4" s="38">
        <f t="shared" si="3"/>
        <v>0</v>
      </c>
    </row>
    <row r="5" ht="13.5" customHeight="1" spans="1:12">
      <c r="A5" s="88" t="s">
        <v>12</v>
      </c>
      <c r="B5" s="38"/>
      <c r="C5" s="38"/>
      <c r="D5" s="38"/>
      <c r="E5" s="38"/>
      <c r="F5" s="39"/>
      <c r="H5" s="89" t="s">
        <v>12</v>
      </c>
      <c r="I5" s="38">
        <f t="shared" si="0"/>
        <v>0</v>
      </c>
      <c r="J5" s="38">
        <f t="shared" si="1"/>
        <v>0</v>
      </c>
      <c r="K5" s="38">
        <f t="shared" si="2"/>
        <v>0</v>
      </c>
      <c r="L5" s="38">
        <f t="shared" si="3"/>
        <v>0</v>
      </c>
    </row>
    <row r="6" ht="13.5" customHeight="1" spans="1:12">
      <c r="A6" s="88" t="s">
        <v>13</v>
      </c>
      <c r="B6" s="38"/>
      <c r="C6" s="38"/>
      <c r="D6" s="38"/>
      <c r="E6" s="38"/>
      <c r="F6" s="39"/>
      <c r="H6" s="89" t="s">
        <v>13</v>
      </c>
      <c r="I6" s="38">
        <f t="shared" si="0"/>
        <v>0</v>
      </c>
      <c r="J6" s="38">
        <f t="shared" si="1"/>
        <v>0</v>
      </c>
      <c r="K6" s="38">
        <f t="shared" si="2"/>
        <v>0</v>
      </c>
      <c r="L6" s="38">
        <f t="shared" si="3"/>
        <v>0</v>
      </c>
    </row>
    <row r="7" ht="13.5" customHeight="1" spans="1:12">
      <c r="A7" s="90" t="s">
        <v>14</v>
      </c>
      <c r="B7" s="38"/>
      <c r="C7" s="38"/>
      <c r="D7" s="38"/>
      <c r="E7" s="38"/>
      <c r="F7" s="39"/>
      <c r="H7" s="91" t="s">
        <v>14</v>
      </c>
      <c r="I7" s="38">
        <f t="shared" si="0"/>
        <v>0</v>
      </c>
      <c r="J7" s="38">
        <f t="shared" si="1"/>
        <v>0</v>
      </c>
      <c r="K7" s="38">
        <f t="shared" si="2"/>
        <v>0</v>
      </c>
      <c r="L7" s="38">
        <f t="shared" si="3"/>
        <v>0</v>
      </c>
    </row>
    <row r="8" ht="13.5" customHeight="1" spans="1:12">
      <c r="A8" s="90" t="s">
        <v>15</v>
      </c>
      <c r="B8" s="38"/>
      <c r="C8" s="38"/>
      <c r="D8" s="38"/>
      <c r="E8" s="38"/>
      <c r="F8" s="39"/>
      <c r="H8" s="91" t="s">
        <v>15</v>
      </c>
      <c r="I8" s="38">
        <f t="shared" si="0"/>
        <v>0</v>
      </c>
      <c r="J8" s="38">
        <f t="shared" si="1"/>
        <v>0</v>
      </c>
      <c r="K8" s="38">
        <f t="shared" si="2"/>
        <v>0</v>
      </c>
      <c r="L8" s="38">
        <f t="shared" si="3"/>
        <v>0</v>
      </c>
    </row>
    <row r="9" ht="13.5" customHeight="1" spans="1:12">
      <c r="A9" s="90" t="s">
        <v>16</v>
      </c>
      <c r="B9" s="38"/>
      <c r="C9" s="38"/>
      <c r="D9" s="38"/>
      <c r="E9" s="38"/>
      <c r="F9" s="39"/>
      <c r="H9" s="91" t="s">
        <v>16</v>
      </c>
      <c r="I9" s="38">
        <f t="shared" si="0"/>
        <v>0</v>
      </c>
      <c r="J9" s="38">
        <f t="shared" si="1"/>
        <v>0</v>
      </c>
      <c r="K9" s="38">
        <f t="shared" si="2"/>
        <v>0</v>
      </c>
      <c r="L9" s="38">
        <f t="shared" si="3"/>
        <v>0</v>
      </c>
    </row>
    <row r="10" ht="13.5" customHeight="1" spans="1:12">
      <c r="A10" s="90" t="s">
        <v>17</v>
      </c>
      <c r="B10" s="38"/>
      <c r="C10" s="38"/>
      <c r="D10" s="38"/>
      <c r="E10" s="38"/>
      <c r="F10" s="39"/>
      <c r="H10" s="91" t="s">
        <v>17</v>
      </c>
      <c r="I10" s="38">
        <f t="shared" si="0"/>
        <v>0</v>
      </c>
      <c r="J10" s="38">
        <f t="shared" si="1"/>
        <v>0</v>
      </c>
      <c r="K10" s="38">
        <f t="shared" si="2"/>
        <v>0</v>
      </c>
      <c r="L10" s="38">
        <f t="shared" si="3"/>
        <v>0</v>
      </c>
    </row>
    <row r="11" ht="13.5" customHeight="1" spans="1:12">
      <c r="A11" s="90" t="s">
        <v>18</v>
      </c>
      <c r="B11" s="38"/>
      <c r="C11" s="38"/>
      <c r="D11" s="38"/>
      <c r="E11" s="38"/>
      <c r="F11" s="39"/>
      <c r="H11" s="91" t="s">
        <v>18</v>
      </c>
      <c r="I11" s="38">
        <f t="shared" si="0"/>
        <v>0</v>
      </c>
      <c r="J11" s="38">
        <f t="shared" si="1"/>
        <v>0</v>
      </c>
      <c r="K11" s="38">
        <f t="shared" si="2"/>
        <v>0</v>
      </c>
      <c r="L11" s="38">
        <f t="shared" si="3"/>
        <v>0</v>
      </c>
    </row>
    <row r="12" ht="13.5" customHeight="1" spans="1:12">
      <c r="A12" s="90" t="s">
        <v>19</v>
      </c>
      <c r="B12" s="38"/>
      <c r="C12" s="38"/>
      <c r="D12" s="38"/>
      <c r="E12" s="38"/>
      <c r="F12" s="39"/>
      <c r="H12" s="91" t="s">
        <v>19</v>
      </c>
      <c r="I12" s="38">
        <f t="shared" si="0"/>
        <v>0</v>
      </c>
      <c r="J12" s="38">
        <f t="shared" si="1"/>
        <v>0</v>
      </c>
      <c r="K12" s="38">
        <f t="shared" si="2"/>
        <v>0</v>
      </c>
      <c r="L12" s="38">
        <f t="shared" si="3"/>
        <v>0</v>
      </c>
    </row>
    <row r="13" ht="13.5" customHeight="1" spans="1:12">
      <c r="A13" s="90" t="s">
        <v>20</v>
      </c>
      <c r="B13" s="38"/>
      <c r="C13" s="38"/>
      <c r="D13" s="38"/>
      <c r="E13" s="38"/>
      <c r="F13" s="39"/>
      <c r="H13" s="91" t="s">
        <v>20</v>
      </c>
      <c r="I13" s="38">
        <f t="shared" si="0"/>
        <v>0</v>
      </c>
      <c r="J13" s="38">
        <f t="shared" si="1"/>
        <v>0</v>
      </c>
      <c r="K13" s="38">
        <f t="shared" si="2"/>
        <v>0</v>
      </c>
      <c r="L13" s="38">
        <f t="shared" si="3"/>
        <v>0</v>
      </c>
    </row>
    <row r="14" ht="13.5" customHeight="1" spans="1:12">
      <c r="A14" s="90" t="s">
        <v>21</v>
      </c>
      <c r="B14" s="38"/>
      <c r="C14" s="38"/>
      <c r="D14" s="38"/>
      <c r="E14" s="38"/>
      <c r="F14" s="39"/>
      <c r="H14" s="91" t="s">
        <v>21</v>
      </c>
      <c r="I14" s="38">
        <f t="shared" si="0"/>
        <v>0</v>
      </c>
      <c r="J14" s="38">
        <f t="shared" si="1"/>
        <v>0</v>
      </c>
      <c r="K14" s="38">
        <f t="shared" si="2"/>
        <v>0</v>
      </c>
      <c r="L14" s="38">
        <f t="shared" si="3"/>
        <v>0</v>
      </c>
    </row>
    <row r="15" ht="13.5" customHeight="1" spans="1:12">
      <c r="A15" s="90" t="s">
        <v>22</v>
      </c>
      <c r="B15" s="38"/>
      <c r="C15" s="38"/>
      <c r="D15" s="38"/>
      <c r="E15" s="38"/>
      <c r="F15" s="39"/>
      <c r="H15" s="91" t="s">
        <v>22</v>
      </c>
      <c r="I15" s="38">
        <f t="shared" si="0"/>
        <v>0</v>
      </c>
      <c r="J15" s="38">
        <f t="shared" si="1"/>
        <v>0</v>
      </c>
      <c r="K15" s="38">
        <f t="shared" si="2"/>
        <v>0</v>
      </c>
      <c r="L15" s="38">
        <f t="shared" si="3"/>
        <v>0</v>
      </c>
    </row>
    <row r="16" ht="13.5" customHeight="1" spans="1:12">
      <c r="A16" s="92" t="s">
        <v>23</v>
      </c>
      <c r="B16" s="93">
        <f>SUM(B3:B15)</f>
        <v>0</v>
      </c>
      <c r="C16" s="93">
        <f>SUM(C3:C15)</f>
        <v>0</v>
      </c>
      <c r="D16" s="93">
        <f>SUM(D3:D15)</f>
        <v>0</v>
      </c>
      <c r="E16" s="93">
        <f>SUM(E3:E15)</f>
        <v>0</v>
      </c>
      <c r="F16" s="39"/>
      <c r="H16" s="94" t="s">
        <v>23</v>
      </c>
      <c r="I16" s="93">
        <f>SUM(I3:I15)</f>
        <v>0</v>
      </c>
      <c r="J16" s="93">
        <f>SUM(J3:J15)</f>
        <v>0</v>
      </c>
      <c r="K16" s="93">
        <f>SUM(K3:K15)</f>
        <v>0</v>
      </c>
      <c r="L16" s="93">
        <f>SUM(L3:L15)</f>
        <v>0</v>
      </c>
    </row>
    <row r="17" ht="13.5" customHeight="1" spans="1:12">
      <c r="A17" s="95" t="s">
        <v>24</v>
      </c>
      <c r="B17" s="86" t="s">
        <v>9</v>
      </c>
      <c r="C17" s="86" t="s">
        <v>9</v>
      </c>
      <c r="D17" s="86" t="s">
        <v>9</v>
      </c>
      <c r="E17" s="86" t="s">
        <v>9</v>
      </c>
      <c r="F17" s="39"/>
      <c r="H17" s="96" t="s">
        <v>24</v>
      </c>
      <c r="I17" s="86" t="s">
        <v>9</v>
      </c>
      <c r="J17" s="86" t="s">
        <v>9</v>
      </c>
      <c r="K17" s="86" t="s">
        <v>9</v>
      </c>
      <c r="L17" s="86" t="s">
        <v>9</v>
      </c>
    </row>
    <row r="18" ht="13.5" customHeight="1" spans="1:12">
      <c r="A18" s="90" t="s">
        <v>25</v>
      </c>
      <c r="B18" s="38"/>
      <c r="C18" s="38"/>
      <c r="D18" s="38"/>
      <c r="E18" s="38"/>
      <c r="F18" s="39"/>
      <c r="H18" s="91" t="s">
        <v>25</v>
      </c>
      <c r="I18" s="38">
        <f t="shared" ref="I18:I35" si="4">B18/10000</f>
        <v>0</v>
      </c>
      <c r="J18" s="38">
        <f t="shared" ref="J18:J35" si="5">C18/10000</f>
        <v>0</v>
      </c>
      <c r="K18" s="38">
        <f t="shared" ref="K18:K35" si="6">D18/10000</f>
        <v>0</v>
      </c>
      <c r="L18" s="38">
        <f t="shared" ref="L18:L35" si="7">E18/10000</f>
        <v>0</v>
      </c>
    </row>
    <row r="19" ht="13.5" customHeight="1" spans="1:12">
      <c r="A19" s="90" t="s">
        <v>26</v>
      </c>
      <c r="B19" s="38"/>
      <c r="C19" s="38"/>
      <c r="D19" s="38"/>
      <c r="E19" s="38"/>
      <c r="F19" s="39"/>
      <c r="H19" s="91" t="s">
        <v>26</v>
      </c>
      <c r="I19" s="38">
        <f t="shared" si="4"/>
        <v>0</v>
      </c>
      <c r="J19" s="38">
        <f t="shared" si="5"/>
        <v>0</v>
      </c>
      <c r="K19" s="38">
        <f t="shared" si="6"/>
        <v>0</v>
      </c>
      <c r="L19" s="38">
        <f t="shared" si="7"/>
        <v>0</v>
      </c>
    </row>
    <row r="20" ht="13.5" customHeight="1" spans="1:12">
      <c r="A20" s="90" t="s">
        <v>27</v>
      </c>
      <c r="B20" s="38"/>
      <c r="C20" s="38"/>
      <c r="D20" s="38"/>
      <c r="E20" s="38"/>
      <c r="F20" s="39"/>
      <c r="H20" s="91" t="s">
        <v>27</v>
      </c>
      <c r="I20" s="38">
        <f t="shared" si="4"/>
        <v>0</v>
      </c>
      <c r="J20" s="38">
        <f t="shared" si="5"/>
        <v>0</v>
      </c>
      <c r="K20" s="38">
        <f t="shared" si="6"/>
        <v>0</v>
      </c>
      <c r="L20" s="38">
        <f t="shared" si="7"/>
        <v>0</v>
      </c>
    </row>
    <row r="21" ht="13.5" customHeight="1" spans="1:12">
      <c r="A21" s="90" t="s">
        <v>28</v>
      </c>
      <c r="B21" s="38"/>
      <c r="C21" s="38"/>
      <c r="D21" s="38"/>
      <c r="E21" s="38"/>
      <c r="F21" s="39"/>
      <c r="H21" s="91" t="s">
        <v>28</v>
      </c>
      <c r="I21" s="38">
        <f t="shared" si="4"/>
        <v>0</v>
      </c>
      <c r="J21" s="38">
        <f t="shared" si="5"/>
        <v>0</v>
      </c>
      <c r="K21" s="38">
        <f t="shared" si="6"/>
        <v>0</v>
      </c>
      <c r="L21" s="38">
        <f t="shared" si="7"/>
        <v>0</v>
      </c>
    </row>
    <row r="22" ht="13.5" customHeight="1" spans="1:12">
      <c r="A22" s="90" t="s">
        <v>29</v>
      </c>
      <c r="B22" s="38"/>
      <c r="C22" s="38"/>
      <c r="D22" s="38"/>
      <c r="E22" s="38"/>
      <c r="F22" s="39"/>
      <c r="H22" s="91" t="s">
        <v>29</v>
      </c>
      <c r="I22" s="38">
        <f t="shared" si="4"/>
        <v>0</v>
      </c>
      <c r="J22" s="38">
        <f t="shared" si="5"/>
        <v>0</v>
      </c>
      <c r="K22" s="38">
        <f t="shared" si="6"/>
        <v>0</v>
      </c>
      <c r="L22" s="38">
        <f t="shared" si="7"/>
        <v>0</v>
      </c>
    </row>
    <row r="23" ht="13.5" customHeight="1" spans="1:12">
      <c r="A23" s="90" t="s">
        <v>30</v>
      </c>
      <c r="B23" s="38"/>
      <c r="C23" s="38"/>
      <c r="D23" s="38"/>
      <c r="E23" s="38"/>
      <c r="F23" s="39"/>
      <c r="H23" s="91" t="s">
        <v>30</v>
      </c>
      <c r="I23" s="38">
        <f t="shared" si="4"/>
        <v>0</v>
      </c>
      <c r="J23" s="38">
        <f t="shared" si="5"/>
        <v>0</v>
      </c>
      <c r="K23" s="38">
        <f t="shared" si="6"/>
        <v>0</v>
      </c>
      <c r="L23" s="38">
        <f t="shared" si="7"/>
        <v>0</v>
      </c>
    </row>
    <row r="24" ht="13.5" customHeight="1" spans="1:12">
      <c r="A24" s="90" t="s">
        <v>31</v>
      </c>
      <c r="B24" s="38"/>
      <c r="C24" s="38"/>
      <c r="D24" s="38"/>
      <c r="E24" s="38"/>
      <c r="F24" s="39"/>
      <c r="H24" s="91" t="s">
        <v>31</v>
      </c>
      <c r="I24" s="38">
        <f t="shared" si="4"/>
        <v>0</v>
      </c>
      <c r="J24" s="38">
        <f t="shared" si="5"/>
        <v>0</v>
      </c>
      <c r="K24" s="38">
        <f t="shared" si="6"/>
        <v>0</v>
      </c>
      <c r="L24" s="38">
        <f t="shared" si="7"/>
        <v>0</v>
      </c>
    </row>
    <row r="25" ht="13.5" customHeight="1" spans="1:12">
      <c r="A25" s="90" t="s">
        <v>32</v>
      </c>
      <c r="B25" s="38"/>
      <c r="C25" s="38"/>
      <c r="D25" s="38"/>
      <c r="E25" s="38"/>
      <c r="F25" s="39"/>
      <c r="H25" s="91" t="s">
        <v>32</v>
      </c>
      <c r="I25" s="38">
        <f t="shared" si="4"/>
        <v>0</v>
      </c>
      <c r="J25" s="38">
        <f t="shared" si="5"/>
        <v>0</v>
      </c>
      <c r="K25" s="38">
        <f t="shared" si="6"/>
        <v>0</v>
      </c>
      <c r="L25" s="38">
        <f t="shared" si="7"/>
        <v>0</v>
      </c>
    </row>
    <row r="26" ht="13.5" customHeight="1" spans="1:12">
      <c r="A26" s="90" t="s">
        <v>33</v>
      </c>
      <c r="B26" s="38"/>
      <c r="C26" s="38"/>
      <c r="D26" s="38"/>
      <c r="E26" s="38"/>
      <c r="F26" s="39"/>
      <c r="H26" s="91" t="s">
        <v>33</v>
      </c>
      <c r="I26" s="38">
        <f t="shared" si="4"/>
        <v>0</v>
      </c>
      <c r="J26" s="38">
        <f t="shared" si="5"/>
        <v>0</v>
      </c>
      <c r="K26" s="38">
        <f t="shared" si="6"/>
        <v>0</v>
      </c>
      <c r="L26" s="38">
        <f t="shared" si="7"/>
        <v>0</v>
      </c>
    </row>
    <row r="27" ht="13.5" customHeight="1" spans="1:12">
      <c r="A27" s="90" t="s">
        <v>34</v>
      </c>
      <c r="B27" s="38"/>
      <c r="C27" s="38"/>
      <c r="D27" s="38"/>
      <c r="E27" s="38"/>
      <c r="F27" s="39"/>
      <c r="H27" s="91" t="s">
        <v>34</v>
      </c>
      <c r="I27" s="38">
        <f t="shared" si="4"/>
        <v>0</v>
      </c>
      <c r="J27" s="38">
        <f t="shared" si="5"/>
        <v>0</v>
      </c>
      <c r="K27" s="38">
        <f t="shared" si="6"/>
        <v>0</v>
      </c>
      <c r="L27" s="38">
        <f t="shared" si="7"/>
        <v>0</v>
      </c>
    </row>
    <row r="28" ht="13.5" customHeight="1" spans="1:12">
      <c r="A28" s="90" t="s">
        <v>35</v>
      </c>
      <c r="B28" s="38"/>
      <c r="C28" s="38"/>
      <c r="D28" s="38"/>
      <c r="E28" s="38"/>
      <c r="F28" s="39"/>
      <c r="H28" s="91" t="s">
        <v>35</v>
      </c>
      <c r="I28" s="38">
        <f t="shared" si="4"/>
        <v>0</v>
      </c>
      <c r="J28" s="38">
        <f t="shared" si="5"/>
        <v>0</v>
      </c>
      <c r="K28" s="38">
        <f t="shared" si="6"/>
        <v>0</v>
      </c>
      <c r="L28" s="38">
        <f t="shared" si="7"/>
        <v>0</v>
      </c>
    </row>
    <row r="29" ht="13.5" customHeight="1" spans="1:12">
      <c r="A29" s="90" t="s">
        <v>36</v>
      </c>
      <c r="B29" s="38"/>
      <c r="C29" s="38"/>
      <c r="D29" s="38"/>
      <c r="E29" s="38"/>
      <c r="F29" s="39"/>
      <c r="H29" s="91" t="s">
        <v>36</v>
      </c>
      <c r="I29" s="38">
        <f t="shared" si="4"/>
        <v>0</v>
      </c>
      <c r="J29" s="38">
        <f t="shared" si="5"/>
        <v>0</v>
      </c>
      <c r="K29" s="38">
        <f t="shared" si="6"/>
        <v>0</v>
      </c>
      <c r="L29" s="38">
        <f t="shared" si="7"/>
        <v>0</v>
      </c>
    </row>
    <row r="30" ht="13.5" customHeight="1" spans="1:12">
      <c r="A30" s="90" t="s">
        <v>37</v>
      </c>
      <c r="B30" s="38"/>
      <c r="C30" s="38"/>
      <c r="D30" s="38"/>
      <c r="E30" s="38"/>
      <c r="F30" s="39"/>
      <c r="H30" s="91" t="s">
        <v>37</v>
      </c>
      <c r="I30" s="38">
        <f t="shared" si="4"/>
        <v>0</v>
      </c>
      <c r="J30" s="38">
        <f t="shared" si="5"/>
        <v>0</v>
      </c>
      <c r="K30" s="38">
        <f t="shared" si="6"/>
        <v>0</v>
      </c>
      <c r="L30" s="38">
        <f t="shared" si="7"/>
        <v>0</v>
      </c>
    </row>
    <row r="31" ht="13.5" customHeight="1" spans="1:12">
      <c r="A31" s="90" t="s">
        <v>38</v>
      </c>
      <c r="B31" s="38"/>
      <c r="C31" s="38"/>
      <c r="D31" s="38"/>
      <c r="E31" s="38"/>
      <c r="F31" s="39"/>
      <c r="H31" s="91" t="s">
        <v>38</v>
      </c>
      <c r="I31" s="38">
        <f t="shared" si="4"/>
        <v>0</v>
      </c>
      <c r="J31" s="38">
        <f t="shared" si="5"/>
        <v>0</v>
      </c>
      <c r="K31" s="38">
        <f t="shared" si="6"/>
        <v>0</v>
      </c>
      <c r="L31" s="38">
        <f t="shared" si="7"/>
        <v>0</v>
      </c>
    </row>
    <row r="32" ht="13.5" customHeight="1" spans="1:12">
      <c r="A32" s="90" t="s">
        <v>39</v>
      </c>
      <c r="B32" s="38"/>
      <c r="C32" s="38"/>
      <c r="D32" s="38"/>
      <c r="E32" s="38"/>
      <c r="F32" s="39"/>
      <c r="H32" s="91" t="s">
        <v>39</v>
      </c>
      <c r="I32" s="38">
        <f t="shared" si="4"/>
        <v>0</v>
      </c>
      <c r="J32" s="38">
        <f t="shared" si="5"/>
        <v>0</v>
      </c>
      <c r="K32" s="38">
        <f t="shared" si="6"/>
        <v>0</v>
      </c>
      <c r="L32" s="38">
        <f t="shared" si="7"/>
        <v>0</v>
      </c>
    </row>
    <row r="33" ht="13.5" customHeight="1" spans="1:12">
      <c r="A33" s="90" t="s">
        <v>40</v>
      </c>
      <c r="B33" s="38"/>
      <c r="C33" s="38"/>
      <c r="D33" s="38"/>
      <c r="E33" s="38"/>
      <c r="F33" s="39"/>
      <c r="H33" s="91" t="s">
        <v>40</v>
      </c>
      <c r="I33" s="38">
        <f t="shared" si="4"/>
        <v>0</v>
      </c>
      <c r="J33" s="38">
        <f t="shared" si="5"/>
        <v>0</v>
      </c>
      <c r="K33" s="38">
        <f t="shared" si="6"/>
        <v>0</v>
      </c>
      <c r="L33" s="38">
        <f t="shared" si="7"/>
        <v>0</v>
      </c>
    </row>
    <row r="34" ht="13.5" customHeight="1" spans="1:12">
      <c r="A34" s="90" t="s">
        <v>41</v>
      </c>
      <c r="B34" s="38"/>
      <c r="C34" s="38"/>
      <c r="D34" s="38"/>
      <c r="E34" s="38"/>
      <c r="F34" s="39"/>
      <c r="H34" s="91" t="s">
        <v>41</v>
      </c>
      <c r="I34" s="38">
        <f t="shared" si="4"/>
        <v>0</v>
      </c>
      <c r="J34" s="38">
        <f t="shared" si="5"/>
        <v>0</v>
      </c>
      <c r="K34" s="38">
        <f t="shared" si="6"/>
        <v>0</v>
      </c>
      <c r="L34" s="38">
        <f t="shared" si="7"/>
        <v>0</v>
      </c>
    </row>
    <row r="35" ht="13.5" customHeight="1" spans="1:12">
      <c r="A35" s="90" t="s">
        <v>42</v>
      </c>
      <c r="B35" s="38"/>
      <c r="C35" s="38"/>
      <c r="D35" s="38"/>
      <c r="E35" s="38"/>
      <c r="F35" s="39"/>
      <c r="H35" s="91" t="s">
        <v>42</v>
      </c>
      <c r="I35" s="38">
        <f t="shared" si="4"/>
        <v>0</v>
      </c>
      <c r="J35" s="38">
        <f t="shared" si="5"/>
        <v>0</v>
      </c>
      <c r="K35" s="38">
        <f t="shared" si="6"/>
        <v>0</v>
      </c>
      <c r="L35" s="38">
        <f t="shared" si="7"/>
        <v>0</v>
      </c>
    </row>
    <row r="36" ht="13.5" customHeight="1" spans="1:12">
      <c r="A36" s="92" t="s">
        <v>43</v>
      </c>
      <c r="B36" s="93">
        <f>SUM(B18:B35)</f>
        <v>0</v>
      </c>
      <c r="C36" s="93">
        <f>SUM(C18:C35)</f>
        <v>0</v>
      </c>
      <c r="D36" s="93">
        <f>SUM(D18:D35)</f>
        <v>0</v>
      </c>
      <c r="E36" s="93">
        <f>SUM(E18:E35)</f>
        <v>0</v>
      </c>
      <c r="F36" s="39"/>
      <c r="H36" s="94" t="s">
        <v>43</v>
      </c>
      <c r="I36" s="93">
        <f>SUM(I18:I35)</f>
        <v>0</v>
      </c>
      <c r="J36" s="93">
        <f>SUM(J18:J35)</f>
        <v>0</v>
      </c>
      <c r="K36" s="93">
        <f>SUM(K18:K35)</f>
        <v>0</v>
      </c>
      <c r="L36" s="93">
        <f>SUM(L18:L35)</f>
        <v>0</v>
      </c>
    </row>
    <row r="37" ht="13.5" customHeight="1" spans="1:12">
      <c r="A37" s="97" t="s">
        <v>44</v>
      </c>
      <c r="B37" s="93">
        <f>B16+B36</f>
        <v>0</v>
      </c>
      <c r="C37" s="93">
        <f>C16+C36</f>
        <v>0</v>
      </c>
      <c r="D37" s="93">
        <f>D16+D36</f>
        <v>0</v>
      </c>
      <c r="E37" s="93">
        <f>E16+E36</f>
        <v>0</v>
      </c>
      <c r="F37" s="39"/>
      <c r="H37" s="98" t="s">
        <v>44</v>
      </c>
      <c r="I37" s="93">
        <f>I16+I36</f>
        <v>0</v>
      </c>
      <c r="J37" s="93">
        <f>J16+J36</f>
        <v>0</v>
      </c>
      <c r="K37" s="93">
        <f>K16+K36</f>
        <v>0</v>
      </c>
      <c r="L37" s="93">
        <f>L16+L36</f>
        <v>0</v>
      </c>
    </row>
    <row r="38" ht="13.5" customHeight="1" spans="1:12">
      <c r="A38" s="85" t="s">
        <v>45</v>
      </c>
      <c r="B38" s="86" t="s">
        <v>9</v>
      </c>
      <c r="C38" s="86" t="s">
        <v>9</v>
      </c>
      <c r="D38" s="86" t="s">
        <v>9</v>
      </c>
      <c r="E38" s="86" t="s">
        <v>9</v>
      </c>
      <c r="F38" s="39"/>
      <c r="H38" s="87" t="s">
        <v>45</v>
      </c>
      <c r="I38" s="86" t="s">
        <v>9</v>
      </c>
      <c r="J38" s="86" t="s">
        <v>9</v>
      </c>
      <c r="K38" s="86" t="s">
        <v>9</v>
      </c>
      <c r="L38" s="86" t="s">
        <v>9</v>
      </c>
    </row>
    <row r="39" ht="13.5" customHeight="1" spans="1:12">
      <c r="A39" s="88" t="s">
        <v>46</v>
      </c>
      <c r="B39" s="38"/>
      <c r="C39" s="38"/>
      <c r="D39" s="38"/>
      <c r="E39" s="38"/>
      <c r="F39" s="39"/>
      <c r="H39" s="89" t="s">
        <v>46</v>
      </c>
      <c r="I39" s="38">
        <f t="shared" ref="I39:I51" si="8">B39/10000</f>
        <v>0</v>
      </c>
      <c r="J39" s="38">
        <f t="shared" ref="J39:J51" si="9">C39/10000</f>
        <v>0</v>
      </c>
      <c r="K39" s="38">
        <f t="shared" ref="K39:K51" si="10">D39/10000</f>
        <v>0</v>
      </c>
      <c r="L39" s="38">
        <f t="shared" ref="L39:L51" si="11">E39/10000</f>
        <v>0</v>
      </c>
    </row>
    <row r="40" ht="13.5" customHeight="1" spans="1:12">
      <c r="A40" s="88" t="s">
        <v>47</v>
      </c>
      <c r="B40" s="38"/>
      <c r="C40" s="38"/>
      <c r="D40" s="38"/>
      <c r="E40" s="38"/>
      <c r="F40" s="39"/>
      <c r="H40" s="89" t="s">
        <v>47</v>
      </c>
      <c r="I40" s="38">
        <f t="shared" si="8"/>
        <v>0</v>
      </c>
      <c r="J40" s="38">
        <f t="shared" si="9"/>
        <v>0</v>
      </c>
      <c r="K40" s="38">
        <f t="shared" si="10"/>
        <v>0</v>
      </c>
      <c r="L40" s="38">
        <f t="shared" si="11"/>
        <v>0</v>
      </c>
    </row>
    <row r="41" ht="13.5" customHeight="1" spans="1:12">
      <c r="A41" s="88" t="s">
        <v>48</v>
      </c>
      <c r="B41" s="38"/>
      <c r="C41" s="38"/>
      <c r="D41" s="38"/>
      <c r="E41" s="38"/>
      <c r="F41" s="39"/>
      <c r="H41" s="89" t="s">
        <v>48</v>
      </c>
      <c r="I41" s="38">
        <f t="shared" si="8"/>
        <v>0</v>
      </c>
      <c r="J41" s="38">
        <f t="shared" si="9"/>
        <v>0</v>
      </c>
      <c r="K41" s="38">
        <f t="shared" si="10"/>
        <v>0</v>
      </c>
      <c r="L41" s="38">
        <f t="shared" si="11"/>
        <v>0</v>
      </c>
    </row>
    <row r="42" ht="13.5" customHeight="1" spans="1:12">
      <c r="A42" s="88" t="s">
        <v>49</v>
      </c>
      <c r="B42" s="38"/>
      <c r="C42" s="38"/>
      <c r="D42" s="38"/>
      <c r="E42" s="38"/>
      <c r="F42" s="39"/>
      <c r="H42" s="89" t="s">
        <v>49</v>
      </c>
      <c r="I42" s="38">
        <f t="shared" si="8"/>
        <v>0</v>
      </c>
      <c r="J42" s="38">
        <f t="shared" si="9"/>
        <v>0</v>
      </c>
      <c r="K42" s="38">
        <f t="shared" si="10"/>
        <v>0</v>
      </c>
      <c r="L42" s="38">
        <f t="shared" si="11"/>
        <v>0</v>
      </c>
    </row>
    <row r="43" ht="13.5" customHeight="1" spans="1:12">
      <c r="A43" s="88" t="s">
        <v>50</v>
      </c>
      <c r="B43" s="38"/>
      <c r="C43" s="38"/>
      <c r="D43" s="38"/>
      <c r="E43" s="38"/>
      <c r="F43" s="39"/>
      <c r="H43" s="89" t="s">
        <v>50</v>
      </c>
      <c r="I43" s="38">
        <f t="shared" si="8"/>
        <v>0</v>
      </c>
      <c r="J43" s="38">
        <f t="shared" si="9"/>
        <v>0</v>
      </c>
      <c r="K43" s="38">
        <f t="shared" si="10"/>
        <v>0</v>
      </c>
      <c r="L43" s="38">
        <f t="shared" si="11"/>
        <v>0</v>
      </c>
    </row>
    <row r="44" ht="13.5" customHeight="1" spans="1:12">
      <c r="A44" s="88" t="s">
        <v>51</v>
      </c>
      <c r="B44" s="38"/>
      <c r="C44" s="38"/>
      <c r="D44" s="38"/>
      <c r="E44" s="38"/>
      <c r="F44" s="39"/>
      <c r="H44" s="89" t="s">
        <v>51</v>
      </c>
      <c r="I44" s="38">
        <f t="shared" si="8"/>
        <v>0</v>
      </c>
      <c r="J44" s="38">
        <f t="shared" si="9"/>
        <v>0</v>
      </c>
      <c r="K44" s="38">
        <f t="shared" si="10"/>
        <v>0</v>
      </c>
      <c r="L44" s="38">
        <f t="shared" si="11"/>
        <v>0</v>
      </c>
    </row>
    <row r="45" ht="13.5" customHeight="1" spans="1:12">
      <c r="A45" s="88" t="s">
        <v>52</v>
      </c>
      <c r="B45" s="38"/>
      <c r="C45" s="38"/>
      <c r="D45" s="38"/>
      <c r="E45" s="38"/>
      <c r="F45" s="39"/>
      <c r="H45" s="89" t="s">
        <v>52</v>
      </c>
      <c r="I45" s="38">
        <f t="shared" si="8"/>
        <v>0</v>
      </c>
      <c r="J45" s="38">
        <f t="shared" si="9"/>
        <v>0</v>
      </c>
      <c r="K45" s="38">
        <f t="shared" si="10"/>
        <v>0</v>
      </c>
      <c r="L45" s="38">
        <f t="shared" si="11"/>
        <v>0</v>
      </c>
    </row>
    <row r="46" ht="13.5" customHeight="1" spans="1:12">
      <c r="A46" s="88" t="s">
        <v>53</v>
      </c>
      <c r="B46" s="38"/>
      <c r="C46" s="38"/>
      <c r="D46" s="38"/>
      <c r="E46" s="38"/>
      <c r="F46" s="39"/>
      <c r="H46" s="89" t="s">
        <v>53</v>
      </c>
      <c r="I46" s="38">
        <f t="shared" si="8"/>
        <v>0</v>
      </c>
      <c r="J46" s="38">
        <f t="shared" si="9"/>
        <v>0</v>
      </c>
      <c r="K46" s="38">
        <f t="shared" si="10"/>
        <v>0</v>
      </c>
      <c r="L46" s="38">
        <f t="shared" si="11"/>
        <v>0</v>
      </c>
    </row>
    <row r="47" ht="13.5" customHeight="1" spans="1:12">
      <c r="A47" s="88" t="s">
        <v>54</v>
      </c>
      <c r="B47" s="38"/>
      <c r="C47" s="38"/>
      <c r="D47" s="38"/>
      <c r="E47" s="38"/>
      <c r="F47" s="39"/>
      <c r="H47" s="89" t="s">
        <v>54</v>
      </c>
      <c r="I47" s="38">
        <f t="shared" si="8"/>
        <v>0</v>
      </c>
      <c r="J47" s="38">
        <f t="shared" si="9"/>
        <v>0</v>
      </c>
      <c r="K47" s="38">
        <f t="shared" si="10"/>
        <v>0</v>
      </c>
      <c r="L47" s="38">
        <f t="shared" si="11"/>
        <v>0</v>
      </c>
    </row>
    <row r="48" ht="13.5" customHeight="1" spans="1:12">
      <c r="A48" s="88" t="s">
        <v>55</v>
      </c>
      <c r="B48" s="38"/>
      <c r="C48" s="38"/>
      <c r="D48" s="38"/>
      <c r="E48" s="38"/>
      <c r="F48" s="39"/>
      <c r="H48" s="89" t="s">
        <v>55</v>
      </c>
      <c r="I48" s="38">
        <f t="shared" si="8"/>
        <v>0</v>
      </c>
      <c r="J48" s="38">
        <f t="shared" si="9"/>
        <v>0</v>
      </c>
      <c r="K48" s="38">
        <f t="shared" si="10"/>
        <v>0</v>
      </c>
      <c r="L48" s="38">
        <f t="shared" si="11"/>
        <v>0</v>
      </c>
    </row>
    <row r="49" ht="13.5" customHeight="1" spans="1:12">
      <c r="A49" s="88" t="s">
        <v>56</v>
      </c>
      <c r="B49" s="38"/>
      <c r="C49" s="38"/>
      <c r="D49" s="38"/>
      <c r="E49" s="38"/>
      <c r="F49" s="39"/>
      <c r="H49" s="89" t="s">
        <v>56</v>
      </c>
      <c r="I49" s="38">
        <f t="shared" si="8"/>
        <v>0</v>
      </c>
      <c r="J49" s="38">
        <f t="shared" si="9"/>
        <v>0</v>
      </c>
      <c r="K49" s="38">
        <f t="shared" si="10"/>
        <v>0</v>
      </c>
      <c r="L49" s="38">
        <f t="shared" si="11"/>
        <v>0</v>
      </c>
    </row>
    <row r="50" ht="13.5" customHeight="1" spans="1:12">
      <c r="A50" s="88" t="s">
        <v>57</v>
      </c>
      <c r="B50" s="38"/>
      <c r="C50" s="38"/>
      <c r="D50" s="38"/>
      <c r="E50" s="38"/>
      <c r="F50" s="39"/>
      <c r="H50" s="89" t="s">
        <v>57</v>
      </c>
      <c r="I50" s="38">
        <f t="shared" si="8"/>
        <v>0</v>
      </c>
      <c r="J50" s="38">
        <f t="shared" si="9"/>
        <v>0</v>
      </c>
      <c r="K50" s="38">
        <f t="shared" si="10"/>
        <v>0</v>
      </c>
      <c r="L50" s="38">
        <f t="shared" si="11"/>
        <v>0</v>
      </c>
    </row>
    <row r="51" ht="13.5" customHeight="1" spans="1:12">
      <c r="A51" s="88" t="s">
        <v>58</v>
      </c>
      <c r="B51" s="38"/>
      <c r="C51" s="38"/>
      <c r="D51" s="38"/>
      <c r="E51" s="38"/>
      <c r="F51" s="39"/>
      <c r="H51" s="89" t="s">
        <v>58</v>
      </c>
      <c r="I51" s="38">
        <f t="shared" si="8"/>
        <v>0</v>
      </c>
      <c r="J51" s="38">
        <f t="shared" si="9"/>
        <v>0</v>
      </c>
      <c r="K51" s="38">
        <f t="shared" si="10"/>
        <v>0</v>
      </c>
      <c r="L51" s="38">
        <f t="shared" si="11"/>
        <v>0</v>
      </c>
    </row>
    <row r="52" ht="13.5" customHeight="1" spans="1:12">
      <c r="A52" s="97" t="s">
        <v>59</v>
      </c>
      <c r="B52" s="93">
        <f>SUM(B39:B51)</f>
        <v>0</v>
      </c>
      <c r="C52" s="93">
        <f>SUM(C39:C51)</f>
        <v>0</v>
      </c>
      <c r="D52" s="93">
        <f>SUM(D39:D51)</f>
        <v>0</v>
      </c>
      <c r="E52" s="93">
        <f>SUM(E39:E51)</f>
        <v>0</v>
      </c>
      <c r="F52" s="39"/>
      <c r="H52" s="98" t="s">
        <v>59</v>
      </c>
      <c r="I52" s="93">
        <f>SUM(I39:I51)</f>
        <v>0</v>
      </c>
      <c r="J52" s="93">
        <f>SUM(J39:J51)</f>
        <v>0</v>
      </c>
      <c r="K52" s="93">
        <f>SUM(K39:K51)</f>
        <v>0</v>
      </c>
      <c r="L52" s="93">
        <f>SUM(L39:L51)</f>
        <v>0</v>
      </c>
    </row>
    <row r="53" ht="13.5" customHeight="1" spans="1:12">
      <c r="A53" s="85" t="s">
        <v>60</v>
      </c>
      <c r="B53" s="86" t="s">
        <v>9</v>
      </c>
      <c r="C53" s="86" t="s">
        <v>9</v>
      </c>
      <c r="D53" s="86" t="s">
        <v>9</v>
      </c>
      <c r="E53" s="86" t="s">
        <v>9</v>
      </c>
      <c r="F53" s="39"/>
      <c r="H53" s="87" t="s">
        <v>60</v>
      </c>
      <c r="I53" s="86" t="s">
        <v>9</v>
      </c>
      <c r="J53" s="86" t="s">
        <v>9</v>
      </c>
      <c r="K53" s="86" t="s">
        <v>9</v>
      </c>
      <c r="L53" s="86" t="s">
        <v>9</v>
      </c>
    </row>
    <row r="54" ht="13.5" customHeight="1" spans="1:12">
      <c r="A54" s="88" t="s">
        <v>61</v>
      </c>
      <c r="B54" s="38"/>
      <c r="C54" s="38"/>
      <c r="D54" s="38"/>
      <c r="E54" s="38"/>
      <c r="F54" s="39"/>
      <c r="H54" s="89" t="s">
        <v>61</v>
      </c>
      <c r="I54" s="38">
        <f t="shared" ref="I54:I63" si="12">B54/10000</f>
        <v>0</v>
      </c>
      <c r="J54" s="38">
        <f t="shared" ref="J54:J63" si="13">C54/10000</f>
        <v>0</v>
      </c>
      <c r="K54" s="38">
        <f t="shared" ref="K54:K63" si="14">D54/10000</f>
        <v>0</v>
      </c>
      <c r="L54" s="38">
        <f t="shared" ref="L54:L63" si="15">E54/10000</f>
        <v>0</v>
      </c>
    </row>
    <row r="55" ht="13.5" customHeight="1" spans="1:12">
      <c r="A55" s="88" t="s">
        <v>62</v>
      </c>
      <c r="B55" s="38"/>
      <c r="C55" s="38"/>
      <c r="D55" s="38"/>
      <c r="E55" s="38"/>
      <c r="F55" s="39"/>
      <c r="H55" s="89" t="s">
        <v>62</v>
      </c>
      <c r="I55" s="38">
        <f t="shared" si="12"/>
        <v>0</v>
      </c>
      <c r="J55" s="38">
        <f t="shared" si="13"/>
        <v>0</v>
      </c>
      <c r="K55" s="38">
        <f t="shared" si="14"/>
        <v>0</v>
      </c>
      <c r="L55" s="38">
        <f t="shared" si="15"/>
        <v>0</v>
      </c>
    </row>
    <row r="56" ht="13.5" customHeight="1" spans="1:12">
      <c r="A56" s="88" t="s">
        <v>63</v>
      </c>
      <c r="B56" s="38"/>
      <c r="C56" s="38"/>
      <c r="D56" s="38"/>
      <c r="E56" s="38"/>
      <c r="F56" s="39"/>
      <c r="H56" s="89" t="s">
        <v>63</v>
      </c>
      <c r="I56" s="38">
        <f t="shared" si="12"/>
        <v>0</v>
      </c>
      <c r="J56" s="38">
        <f t="shared" si="13"/>
        <v>0</v>
      </c>
      <c r="K56" s="38">
        <f t="shared" si="14"/>
        <v>0</v>
      </c>
      <c r="L56" s="38">
        <f t="shared" si="15"/>
        <v>0</v>
      </c>
    </row>
    <row r="57" ht="13.5" customHeight="1" spans="1:12">
      <c r="A57" s="88" t="s">
        <v>64</v>
      </c>
      <c r="B57" s="38"/>
      <c r="C57" s="38"/>
      <c r="D57" s="38"/>
      <c r="E57" s="38"/>
      <c r="F57" s="39"/>
      <c r="H57" s="89" t="s">
        <v>64</v>
      </c>
      <c r="I57" s="38">
        <f t="shared" si="12"/>
        <v>0</v>
      </c>
      <c r="J57" s="38">
        <f t="shared" si="13"/>
        <v>0</v>
      </c>
      <c r="K57" s="38">
        <f t="shared" si="14"/>
        <v>0</v>
      </c>
      <c r="L57" s="38">
        <f t="shared" si="15"/>
        <v>0</v>
      </c>
    </row>
    <row r="58" ht="13.5" customHeight="1" spans="1:12">
      <c r="A58" s="88" t="s">
        <v>65</v>
      </c>
      <c r="B58" s="38"/>
      <c r="C58" s="38"/>
      <c r="D58" s="38"/>
      <c r="E58" s="38"/>
      <c r="F58" s="39"/>
      <c r="H58" s="89" t="s">
        <v>65</v>
      </c>
      <c r="I58" s="38">
        <f t="shared" si="12"/>
        <v>0</v>
      </c>
      <c r="J58" s="38">
        <f t="shared" si="13"/>
        <v>0</v>
      </c>
      <c r="K58" s="38">
        <f t="shared" si="14"/>
        <v>0</v>
      </c>
      <c r="L58" s="38">
        <f t="shared" si="15"/>
        <v>0</v>
      </c>
    </row>
    <row r="59" ht="13.5" customHeight="1" spans="1:12">
      <c r="A59" s="88" t="s">
        <v>66</v>
      </c>
      <c r="B59" s="38"/>
      <c r="C59" s="38"/>
      <c r="D59" s="38"/>
      <c r="E59" s="38"/>
      <c r="F59" s="39"/>
      <c r="H59" s="89" t="s">
        <v>66</v>
      </c>
      <c r="I59" s="38">
        <f t="shared" si="12"/>
        <v>0</v>
      </c>
      <c r="J59" s="38">
        <f t="shared" si="13"/>
        <v>0</v>
      </c>
      <c r="K59" s="38">
        <f t="shared" si="14"/>
        <v>0</v>
      </c>
      <c r="L59" s="38">
        <f t="shared" si="15"/>
        <v>0</v>
      </c>
    </row>
    <row r="60" ht="13.5" customHeight="1" spans="1:12">
      <c r="A60" s="88" t="s">
        <v>67</v>
      </c>
      <c r="B60" s="38"/>
      <c r="C60" s="38"/>
      <c r="D60" s="38"/>
      <c r="E60" s="38"/>
      <c r="F60" s="39"/>
      <c r="H60" s="89" t="s">
        <v>67</v>
      </c>
      <c r="I60" s="38">
        <f t="shared" si="12"/>
        <v>0</v>
      </c>
      <c r="J60" s="38">
        <f t="shared" si="13"/>
        <v>0</v>
      </c>
      <c r="K60" s="38">
        <f t="shared" si="14"/>
        <v>0</v>
      </c>
      <c r="L60" s="38">
        <f t="shared" si="15"/>
        <v>0</v>
      </c>
    </row>
    <row r="61" ht="13.5" customHeight="1" spans="1:12">
      <c r="A61" s="88" t="s">
        <v>68</v>
      </c>
      <c r="B61" s="38"/>
      <c r="C61" s="38"/>
      <c r="D61" s="38"/>
      <c r="E61" s="38"/>
      <c r="F61" s="39"/>
      <c r="H61" s="89" t="s">
        <v>68</v>
      </c>
      <c r="I61" s="38">
        <f t="shared" si="12"/>
        <v>0</v>
      </c>
      <c r="J61" s="38">
        <f t="shared" si="13"/>
        <v>0</v>
      </c>
      <c r="K61" s="38">
        <f t="shared" si="14"/>
        <v>0</v>
      </c>
      <c r="L61" s="38">
        <f t="shared" si="15"/>
        <v>0</v>
      </c>
    </row>
    <row r="62" ht="13.5" customHeight="1" spans="1:12">
      <c r="A62" s="88" t="s">
        <v>69</v>
      </c>
      <c r="B62" s="38"/>
      <c r="C62" s="38"/>
      <c r="D62" s="38"/>
      <c r="E62" s="38"/>
      <c r="F62" s="39"/>
      <c r="H62" s="89" t="s">
        <v>69</v>
      </c>
      <c r="I62" s="38">
        <f t="shared" si="12"/>
        <v>0</v>
      </c>
      <c r="J62" s="38">
        <f t="shared" si="13"/>
        <v>0</v>
      </c>
      <c r="K62" s="38">
        <f t="shared" si="14"/>
        <v>0</v>
      </c>
      <c r="L62" s="38">
        <f t="shared" si="15"/>
        <v>0</v>
      </c>
    </row>
    <row r="63" ht="13.5" customHeight="1" spans="1:12">
      <c r="A63" s="88" t="s">
        <v>70</v>
      </c>
      <c r="B63" s="38"/>
      <c r="C63" s="38"/>
      <c r="D63" s="38"/>
      <c r="E63" s="38"/>
      <c r="F63" s="39"/>
      <c r="H63" s="89" t="s">
        <v>70</v>
      </c>
      <c r="I63" s="38">
        <f t="shared" si="12"/>
        <v>0</v>
      </c>
      <c r="J63" s="38">
        <f t="shared" si="13"/>
        <v>0</v>
      </c>
      <c r="K63" s="38">
        <f t="shared" si="14"/>
        <v>0</v>
      </c>
      <c r="L63" s="38">
        <f t="shared" si="15"/>
        <v>0</v>
      </c>
    </row>
    <row r="64" ht="13.5" customHeight="1" spans="1:12">
      <c r="A64" s="97" t="s">
        <v>71</v>
      </c>
      <c r="B64" s="93">
        <f>SUM(B54:B55,B58:B63)</f>
        <v>0</v>
      </c>
      <c r="C64" s="93">
        <f>SUM(C54:C55,C58:C63)</f>
        <v>0</v>
      </c>
      <c r="D64" s="93">
        <f>SUM(D54:D55,D58:D63)</f>
        <v>0</v>
      </c>
      <c r="E64" s="93">
        <f>SUM(E54:E55,E58:E63)</f>
        <v>0</v>
      </c>
      <c r="F64" s="39"/>
      <c r="H64" s="98" t="s">
        <v>71</v>
      </c>
      <c r="I64" s="93">
        <f>SUM(I54:I55,I58:I63)</f>
        <v>0</v>
      </c>
      <c r="J64" s="93">
        <f>SUM(J54:J55,J58:J63)</f>
        <v>0</v>
      </c>
      <c r="K64" s="93">
        <f>SUM(K54:K55,K58:K63)</f>
        <v>0</v>
      </c>
      <c r="L64" s="93">
        <f>SUM(L54:L55,L58:L63)</f>
        <v>0</v>
      </c>
    </row>
    <row r="65" ht="13.5" customHeight="1" spans="1:12">
      <c r="A65" s="97" t="s">
        <v>72</v>
      </c>
      <c r="B65" s="93">
        <f>B52+B64</f>
        <v>0</v>
      </c>
      <c r="C65" s="93">
        <f>C52+C64</f>
        <v>0</v>
      </c>
      <c r="D65" s="93">
        <f>D52+D64</f>
        <v>0</v>
      </c>
      <c r="E65" s="93">
        <f>E52+E64</f>
        <v>0</v>
      </c>
      <c r="F65" s="39"/>
      <c r="H65" s="98" t="s">
        <v>72</v>
      </c>
      <c r="I65" s="93">
        <f>I52+I64</f>
        <v>0</v>
      </c>
      <c r="J65" s="93">
        <f>J52+J64</f>
        <v>0</v>
      </c>
      <c r="K65" s="93">
        <f>K52+K64</f>
        <v>0</v>
      </c>
      <c r="L65" s="93">
        <f>L52+L64</f>
        <v>0</v>
      </c>
    </row>
    <row r="66" ht="13.5" customHeight="1" spans="1:12">
      <c r="A66" s="85" t="s">
        <v>73</v>
      </c>
      <c r="B66" s="86" t="s">
        <v>9</v>
      </c>
      <c r="C66" s="86" t="s">
        <v>9</v>
      </c>
      <c r="D66" s="86" t="s">
        <v>9</v>
      </c>
      <c r="E66" s="86" t="s">
        <v>9</v>
      </c>
      <c r="F66" s="39"/>
      <c r="H66" s="87" t="s">
        <v>73</v>
      </c>
      <c r="I66" s="86" t="s">
        <v>9</v>
      </c>
      <c r="J66" s="86" t="s">
        <v>9</v>
      </c>
      <c r="K66" s="86" t="s">
        <v>9</v>
      </c>
      <c r="L66" s="86" t="s">
        <v>9</v>
      </c>
    </row>
    <row r="67" ht="13.5" customHeight="1" spans="1:12">
      <c r="A67" s="88" t="s">
        <v>74</v>
      </c>
      <c r="B67" s="38"/>
      <c r="C67" s="38"/>
      <c r="D67" s="38"/>
      <c r="E67" s="38"/>
      <c r="F67" s="39"/>
      <c r="H67" s="89" t="s">
        <v>74</v>
      </c>
      <c r="I67" s="38">
        <f t="shared" ref="I67:I76" si="16">B67/10000</f>
        <v>0</v>
      </c>
      <c r="J67" s="38">
        <f t="shared" ref="J67:J76" si="17">C67/10000</f>
        <v>0</v>
      </c>
      <c r="K67" s="38">
        <f t="shared" ref="K67:K76" si="18">D67/10000</f>
        <v>0</v>
      </c>
      <c r="L67" s="38">
        <f t="shared" ref="L67:L76" si="19">E67/10000</f>
        <v>0</v>
      </c>
    </row>
    <row r="68" ht="13.5" customHeight="1" spans="1:12">
      <c r="A68" s="88" t="s">
        <v>75</v>
      </c>
      <c r="B68" s="38"/>
      <c r="C68" s="38"/>
      <c r="D68" s="38"/>
      <c r="E68" s="38"/>
      <c r="F68" s="39"/>
      <c r="H68" s="89" t="s">
        <v>75</v>
      </c>
      <c r="I68" s="38">
        <f t="shared" si="16"/>
        <v>0</v>
      </c>
      <c r="J68" s="38">
        <f t="shared" si="17"/>
        <v>0</v>
      </c>
      <c r="K68" s="38">
        <f t="shared" si="18"/>
        <v>0</v>
      </c>
      <c r="L68" s="38">
        <f t="shared" si="19"/>
        <v>0</v>
      </c>
    </row>
    <row r="69" ht="13.5" customHeight="1" spans="1:12">
      <c r="A69" s="88" t="s">
        <v>63</v>
      </c>
      <c r="B69" s="38"/>
      <c r="C69" s="38"/>
      <c r="D69" s="38"/>
      <c r="E69" s="38"/>
      <c r="F69" s="39"/>
      <c r="H69" s="89" t="s">
        <v>63</v>
      </c>
      <c r="I69" s="38">
        <f t="shared" si="16"/>
        <v>0</v>
      </c>
      <c r="J69" s="38">
        <f t="shared" si="17"/>
        <v>0</v>
      </c>
      <c r="K69" s="38">
        <f t="shared" si="18"/>
        <v>0</v>
      </c>
      <c r="L69" s="38">
        <f t="shared" si="19"/>
        <v>0</v>
      </c>
    </row>
    <row r="70" ht="13.5" customHeight="1" spans="1:12">
      <c r="A70" s="88" t="s">
        <v>64</v>
      </c>
      <c r="B70" s="38"/>
      <c r="C70" s="38"/>
      <c r="D70" s="38"/>
      <c r="E70" s="38"/>
      <c r="F70" s="39"/>
      <c r="H70" s="89" t="s">
        <v>64</v>
      </c>
      <c r="I70" s="38">
        <f t="shared" si="16"/>
        <v>0</v>
      </c>
      <c r="J70" s="38">
        <f t="shared" si="17"/>
        <v>0</v>
      </c>
      <c r="K70" s="38">
        <f t="shared" si="18"/>
        <v>0</v>
      </c>
      <c r="L70" s="38">
        <f t="shared" si="19"/>
        <v>0</v>
      </c>
    </row>
    <row r="71" ht="13.5" customHeight="1" spans="1:12">
      <c r="A71" s="88" t="s">
        <v>76</v>
      </c>
      <c r="B71" s="38"/>
      <c r="C71" s="38"/>
      <c r="D71" s="38"/>
      <c r="E71" s="38"/>
      <c r="F71" s="39"/>
      <c r="H71" s="89" t="s">
        <v>76</v>
      </c>
      <c r="I71" s="38">
        <f t="shared" si="16"/>
        <v>0</v>
      </c>
      <c r="J71" s="38">
        <f t="shared" si="17"/>
        <v>0</v>
      </c>
      <c r="K71" s="38">
        <f t="shared" si="18"/>
        <v>0</v>
      </c>
      <c r="L71" s="38">
        <f t="shared" si="19"/>
        <v>0</v>
      </c>
    </row>
    <row r="72" ht="13.5" customHeight="1" spans="1:12">
      <c r="A72" s="88" t="s">
        <v>77</v>
      </c>
      <c r="B72" s="38"/>
      <c r="C72" s="38"/>
      <c r="D72" s="38"/>
      <c r="E72" s="38"/>
      <c r="F72" s="39"/>
      <c r="H72" s="89" t="s">
        <v>77</v>
      </c>
      <c r="I72" s="38">
        <f t="shared" si="16"/>
        <v>0</v>
      </c>
      <c r="J72" s="38">
        <f t="shared" si="17"/>
        <v>0</v>
      </c>
      <c r="K72" s="38">
        <f t="shared" si="18"/>
        <v>0</v>
      </c>
      <c r="L72" s="38">
        <f t="shared" si="19"/>
        <v>0</v>
      </c>
    </row>
    <row r="73" ht="13.5" customHeight="1" spans="1:12">
      <c r="A73" s="88" t="s">
        <v>78</v>
      </c>
      <c r="B73" s="38"/>
      <c r="C73" s="38"/>
      <c r="D73" s="38"/>
      <c r="E73" s="38"/>
      <c r="F73" s="39"/>
      <c r="H73" s="89" t="s">
        <v>78</v>
      </c>
      <c r="I73" s="38">
        <f t="shared" si="16"/>
        <v>0</v>
      </c>
      <c r="J73" s="38">
        <f t="shared" si="17"/>
        <v>0</v>
      </c>
      <c r="K73" s="38">
        <f t="shared" si="18"/>
        <v>0</v>
      </c>
      <c r="L73" s="38">
        <f t="shared" si="19"/>
        <v>0</v>
      </c>
    </row>
    <row r="74" ht="13.5" customHeight="1" spans="1:12">
      <c r="A74" s="88" t="s">
        <v>79</v>
      </c>
      <c r="B74" s="38"/>
      <c r="C74" s="38"/>
      <c r="D74" s="38"/>
      <c r="E74" s="38"/>
      <c r="F74" s="39"/>
      <c r="H74" s="89" t="s">
        <v>79</v>
      </c>
      <c r="I74" s="38">
        <f t="shared" si="16"/>
        <v>0</v>
      </c>
      <c r="J74" s="38">
        <f t="shared" si="17"/>
        <v>0</v>
      </c>
      <c r="K74" s="38">
        <f t="shared" si="18"/>
        <v>0</v>
      </c>
      <c r="L74" s="38">
        <f t="shared" si="19"/>
        <v>0</v>
      </c>
    </row>
    <row r="75" ht="13.5" customHeight="1" spans="1:12">
      <c r="A75" s="88" t="s">
        <v>80</v>
      </c>
      <c r="B75" s="38"/>
      <c r="C75" s="38"/>
      <c r="D75" s="38"/>
      <c r="E75" s="38"/>
      <c r="F75" s="39"/>
      <c r="H75" s="89" t="s">
        <v>80</v>
      </c>
      <c r="I75" s="38">
        <f t="shared" si="16"/>
        <v>0</v>
      </c>
      <c r="J75" s="38">
        <f t="shared" si="17"/>
        <v>0</v>
      </c>
      <c r="K75" s="38">
        <f t="shared" si="18"/>
        <v>0</v>
      </c>
      <c r="L75" s="38">
        <f t="shared" si="19"/>
        <v>0</v>
      </c>
    </row>
    <row r="76" ht="13.5" customHeight="1" spans="1:12">
      <c r="A76" s="88" t="s">
        <v>81</v>
      </c>
      <c r="B76" s="38"/>
      <c r="C76" s="38"/>
      <c r="D76" s="38"/>
      <c r="E76" s="38"/>
      <c r="F76" s="39"/>
      <c r="H76" s="89" t="s">
        <v>81</v>
      </c>
      <c r="I76" s="38">
        <f t="shared" si="16"/>
        <v>0</v>
      </c>
      <c r="J76" s="38">
        <f t="shared" si="17"/>
        <v>0</v>
      </c>
      <c r="K76" s="38">
        <f t="shared" si="18"/>
        <v>0</v>
      </c>
      <c r="L76" s="38">
        <f t="shared" si="19"/>
        <v>0</v>
      </c>
    </row>
    <row r="77" ht="13.5" customHeight="1" spans="1:12">
      <c r="A77" s="97" t="s">
        <v>82</v>
      </c>
      <c r="B77" s="93">
        <f>SUM(B67:B68,B71,B73:B76)-B72</f>
        <v>0</v>
      </c>
      <c r="C77" s="93">
        <f>SUM(C67:C68,C71,C73:C76)-C72</f>
        <v>0</v>
      </c>
      <c r="D77" s="93">
        <f>SUM(D67:D68,D71,D73:D76)-D72</f>
        <v>0</v>
      </c>
      <c r="E77" s="93">
        <f>SUM(E67:E68,E71,E73:E76)-E72</f>
        <v>0</v>
      </c>
      <c r="F77" s="39"/>
      <c r="H77" s="98" t="s">
        <v>82</v>
      </c>
      <c r="I77" s="93">
        <f>SUM(I67:I68,I71,I73:I76)-I72</f>
        <v>0</v>
      </c>
      <c r="J77" s="93">
        <f>SUM(J67:J68,J71,J73:J76)-J72</f>
        <v>0</v>
      </c>
      <c r="K77" s="93">
        <f>SUM(K67:K68,K71,K73:K76)-K72</f>
        <v>0</v>
      </c>
      <c r="L77" s="93">
        <f>SUM(L67:L68,L71,L73:L76)-L72</f>
        <v>0</v>
      </c>
    </row>
    <row r="78" ht="13.5" customHeight="1" spans="1:12">
      <c r="A78" s="88" t="s">
        <v>83</v>
      </c>
      <c r="B78" s="38">
        <v>0</v>
      </c>
      <c r="C78" s="38">
        <v>0</v>
      </c>
      <c r="D78" s="38">
        <v>0</v>
      </c>
      <c r="E78" s="38">
        <v>0</v>
      </c>
      <c r="F78" s="39"/>
      <c r="H78" s="89" t="s">
        <v>83</v>
      </c>
      <c r="I78" s="38">
        <f>B78/10000</f>
        <v>0</v>
      </c>
      <c r="J78" s="38">
        <f>C78/10000</f>
        <v>0</v>
      </c>
      <c r="K78" s="38">
        <f>D78/10000</f>
        <v>0</v>
      </c>
      <c r="L78" s="38">
        <f>E78/10000</f>
        <v>0</v>
      </c>
    </row>
    <row r="79" ht="13.5" customHeight="1" spans="1:12">
      <c r="A79" s="97" t="s">
        <v>84</v>
      </c>
      <c r="B79" s="93">
        <f>B77+B78</f>
        <v>0</v>
      </c>
      <c r="C79" s="93">
        <f>C77+C78</f>
        <v>0</v>
      </c>
      <c r="D79" s="93">
        <f>D77+D78</f>
        <v>0</v>
      </c>
      <c r="E79" s="93">
        <f>E77+E78</f>
        <v>0</v>
      </c>
      <c r="F79" s="39"/>
      <c r="H79" s="98" t="s">
        <v>84</v>
      </c>
      <c r="I79" s="93">
        <f>I77+I78</f>
        <v>0</v>
      </c>
      <c r="J79" s="93">
        <f>J77+J78</f>
        <v>0</v>
      </c>
      <c r="K79" s="93">
        <f>K77+K78</f>
        <v>0</v>
      </c>
      <c r="L79" s="93">
        <f>L77+L78</f>
        <v>0</v>
      </c>
    </row>
    <row r="80" ht="28.5" customHeight="1" spans="1:12">
      <c r="A80" s="99" t="s">
        <v>85</v>
      </c>
      <c r="B80" s="93">
        <f>B65+B79</f>
        <v>0</v>
      </c>
      <c r="C80" s="93">
        <f>C65+C79</f>
        <v>0</v>
      </c>
      <c r="D80" s="93">
        <f>D65+D79</f>
        <v>0</v>
      </c>
      <c r="E80" s="93">
        <f>E65+E79</f>
        <v>0</v>
      </c>
      <c r="F80" s="39"/>
      <c r="H80" s="100" t="s">
        <v>85</v>
      </c>
      <c r="I80" s="93">
        <f>I65+I79</f>
        <v>0</v>
      </c>
      <c r="J80" s="93">
        <f>J65+J79</f>
        <v>0</v>
      </c>
      <c r="K80" s="93">
        <f>K65+K79</f>
        <v>0</v>
      </c>
      <c r="L80" s="93">
        <f>L65+L79</f>
        <v>0</v>
      </c>
    </row>
    <row r="81" ht="13.5" customHeight="1" spans="1:12">
      <c r="A81" s="101"/>
      <c r="B81" s="102">
        <f>B80-B37</f>
        <v>0</v>
      </c>
      <c r="C81" s="102">
        <f>C80-C37</f>
        <v>0</v>
      </c>
      <c r="D81" s="102">
        <f>D80-D37</f>
        <v>0</v>
      </c>
      <c r="E81" s="102">
        <f>E80-E37</f>
        <v>0</v>
      </c>
      <c r="H81" s="101"/>
      <c r="I81" s="102">
        <f>I80-I37</f>
        <v>0</v>
      </c>
      <c r="J81" s="102">
        <f>J80-J37</f>
        <v>0</v>
      </c>
      <c r="K81" s="102">
        <f>K80-K37</f>
        <v>0</v>
      </c>
      <c r="L81" s="102">
        <f>L80-L37</f>
        <v>0</v>
      </c>
    </row>
    <row r="82" ht="13.5" customHeight="1" spans="1:12">
      <c r="A82" s="3"/>
      <c r="B82" s="66"/>
      <c r="C82" s="66"/>
      <c r="D82" s="66"/>
      <c r="E82" s="66"/>
      <c r="H82" s="3"/>
      <c r="I82" s="103"/>
      <c r="J82" s="103"/>
      <c r="K82" s="103"/>
      <c r="L82" s="103"/>
    </row>
    <row r="83" ht="13.5" customHeight="1" spans="1:12">
      <c r="A83" s="3"/>
      <c r="B83" s="66"/>
      <c r="C83" s="66"/>
      <c r="D83" s="66"/>
      <c r="E83" s="66"/>
      <c r="H83" s="3"/>
      <c r="I83" s="103"/>
      <c r="J83" s="103"/>
      <c r="K83" s="103"/>
      <c r="L83" s="103"/>
    </row>
    <row r="84" ht="13.5" customHeight="1" spans="1:12">
      <c r="A84" s="3"/>
      <c r="B84" s="66"/>
      <c r="C84" s="66"/>
      <c r="D84" s="66"/>
      <c r="E84" s="66"/>
      <c r="H84" s="3"/>
      <c r="I84" s="68"/>
      <c r="J84" s="68"/>
      <c r="K84" s="68"/>
      <c r="L84" s="68"/>
    </row>
    <row r="85" ht="13.5" customHeight="1" spans="1:12">
      <c r="A85" s="3"/>
      <c r="B85" s="66"/>
      <c r="C85" s="66"/>
      <c r="D85" s="66"/>
      <c r="E85" s="66"/>
      <c r="H85" s="3"/>
      <c r="I85" s="68"/>
      <c r="J85" s="68"/>
      <c r="K85" s="68"/>
      <c r="L85" s="68"/>
    </row>
    <row r="86" ht="13.5" customHeight="1" spans="1:12">
      <c r="A86" s="3"/>
      <c r="B86" s="66"/>
      <c r="C86" s="66"/>
      <c r="D86" s="66"/>
      <c r="E86" s="66"/>
      <c r="H86" s="3"/>
      <c r="I86" s="68"/>
      <c r="J86" s="68"/>
      <c r="K86" s="68"/>
      <c r="L86" s="68"/>
    </row>
    <row r="87" ht="13.5" customHeight="1" spans="1:12">
      <c r="A87" s="3"/>
      <c r="B87" s="66"/>
      <c r="C87" s="66"/>
      <c r="D87" s="66"/>
      <c r="E87" s="66"/>
      <c r="H87" s="3"/>
      <c r="I87" s="68"/>
      <c r="J87" s="68"/>
      <c r="K87" s="68"/>
      <c r="L87" s="68"/>
    </row>
    <row r="88" ht="13.5" customHeight="1" spans="1:12">
      <c r="A88" s="3"/>
      <c r="B88" s="66"/>
      <c r="C88" s="66"/>
      <c r="D88" s="66"/>
      <c r="E88" s="66"/>
      <c r="H88" s="3"/>
      <c r="I88" s="68"/>
      <c r="J88" s="68"/>
      <c r="K88" s="68"/>
      <c r="L88" s="68"/>
    </row>
    <row r="89" ht="13.5" customHeight="1" spans="1:12">
      <c r="A89" s="3"/>
      <c r="B89" s="66"/>
      <c r="C89" s="66"/>
      <c r="D89" s="66"/>
      <c r="E89" s="66"/>
      <c r="H89" s="3"/>
      <c r="I89" s="68"/>
      <c r="J89" s="68"/>
      <c r="K89" s="68"/>
      <c r="L89" s="68"/>
    </row>
    <row r="90" ht="13.5" customHeight="1" spans="1:12">
      <c r="A90" s="3"/>
      <c r="B90" s="66"/>
      <c r="C90" s="66"/>
      <c r="D90" s="66"/>
      <c r="E90" s="66"/>
      <c r="H90" s="3"/>
      <c r="I90" s="68"/>
      <c r="J90" s="68"/>
      <c r="K90" s="68"/>
      <c r="L90" s="68"/>
    </row>
    <row r="91" ht="13.5" customHeight="1" spans="1:12">
      <c r="A91" s="3"/>
      <c r="B91" s="66"/>
      <c r="C91" s="66"/>
      <c r="D91" s="66"/>
      <c r="E91" s="66"/>
      <c r="H91" s="3"/>
      <c r="I91" s="68"/>
      <c r="J91" s="68"/>
      <c r="K91" s="68"/>
      <c r="L91" s="68"/>
    </row>
    <row r="92" ht="13.5" customHeight="1" spans="1:12">
      <c r="A92" s="3"/>
      <c r="B92" s="66"/>
      <c r="C92" s="66"/>
      <c r="D92" s="66"/>
      <c r="E92" s="66"/>
      <c r="H92" s="3"/>
      <c r="I92" s="68"/>
      <c r="J92" s="68"/>
      <c r="K92" s="68"/>
      <c r="L92" s="68"/>
    </row>
    <row r="93" ht="13.5" customHeight="1" spans="1:12">
      <c r="A93" s="3"/>
      <c r="B93" s="66"/>
      <c r="C93" s="66"/>
      <c r="D93" s="66"/>
      <c r="E93" s="66"/>
      <c r="H93" s="3"/>
      <c r="I93" s="68"/>
      <c r="J93" s="68"/>
      <c r="K93" s="68"/>
      <c r="L93" s="68"/>
    </row>
    <row r="94" ht="13.5" customHeight="1" spans="1:12">
      <c r="A94" s="3"/>
      <c r="B94" s="66"/>
      <c r="C94" s="66"/>
      <c r="D94" s="66"/>
      <c r="E94" s="66"/>
      <c r="H94" s="3"/>
      <c r="I94" s="68"/>
      <c r="J94" s="68"/>
      <c r="K94" s="68"/>
      <c r="L94" s="68"/>
    </row>
    <row r="95" ht="13.5" customHeight="1" spans="1:12">
      <c r="A95" s="3"/>
      <c r="B95" s="66"/>
      <c r="C95" s="66"/>
      <c r="D95" s="66"/>
      <c r="E95" s="66"/>
      <c r="H95" s="3"/>
      <c r="I95" s="68"/>
      <c r="J95" s="68"/>
      <c r="K95" s="68"/>
      <c r="L95" s="68"/>
    </row>
    <row r="96" ht="13.5" customHeight="1" spans="1:12">
      <c r="A96" s="3"/>
      <c r="B96" s="66"/>
      <c r="C96" s="66"/>
      <c r="D96" s="66"/>
      <c r="E96" s="66"/>
      <c r="H96" s="3"/>
      <c r="I96" s="68"/>
      <c r="J96" s="68"/>
      <c r="K96" s="68"/>
      <c r="L96" s="68"/>
    </row>
    <row r="97" ht="13.5" customHeight="1" spans="1:12">
      <c r="A97" s="3"/>
      <c r="B97" s="66"/>
      <c r="C97" s="66"/>
      <c r="D97" s="66"/>
      <c r="E97" s="66"/>
      <c r="H97" s="3"/>
      <c r="I97" s="68"/>
      <c r="J97" s="68"/>
      <c r="K97" s="68"/>
      <c r="L97" s="68"/>
    </row>
    <row r="98" ht="13.5" customHeight="1" spans="1:12">
      <c r="A98" s="3"/>
      <c r="B98" s="66"/>
      <c r="C98" s="66"/>
      <c r="D98" s="66"/>
      <c r="E98" s="66"/>
      <c r="H98" s="3"/>
      <c r="I98" s="68"/>
      <c r="J98" s="68"/>
      <c r="K98" s="68"/>
      <c r="L98" s="68"/>
    </row>
    <row r="99" ht="13.5" customHeight="1" spans="1:12">
      <c r="A99" s="3"/>
      <c r="B99" s="66"/>
      <c r="C99" s="66"/>
      <c r="D99" s="66"/>
      <c r="E99" s="66"/>
      <c r="H99" s="3"/>
      <c r="I99" s="68"/>
      <c r="J99" s="68"/>
      <c r="K99" s="68"/>
      <c r="L99" s="68"/>
    </row>
    <row r="100" ht="13.5" customHeight="1" spans="1:12">
      <c r="A100" s="3"/>
      <c r="B100" s="66"/>
      <c r="C100" s="66"/>
      <c r="D100" s="66"/>
      <c r="E100" s="66"/>
      <c r="H100" s="3"/>
      <c r="I100" s="68"/>
      <c r="J100" s="68"/>
      <c r="K100" s="68"/>
      <c r="L100" s="68"/>
    </row>
    <row r="101" ht="13.5" customHeight="1" spans="1:12">
      <c r="A101" s="3"/>
      <c r="B101" s="66"/>
      <c r="C101" s="66"/>
      <c r="D101" s="66"/>
      <c r="E101" s="66"/>
      <c r="H101" s="3"/>
      <c r="I101" s="68"/>
      <c r="J101" s="68"/>
      <c r="K101" s="68"/>
      <c r="L101" s="68"/>
    </row>
    <row r="102" ht="13.5" customHeight="1" spans="1:12">
      <c r="A102" s="3"/>
      <c r="B102" s="66"/>
      <c r="C102" s="66"/>
      <c r="D102" s="66"/>
      <c r="E102" s="66"/>
      <c r="H102" s="3"/>
      <c r="I102" s="68"/>
      <c r="J102" s="68"/>
      <c r="K102" s="68"/>
      <c r="L102" s="68"/>
    </row>
    <row r="103" ht="13.5" customHeight="1" spans="1:12">
      <c r="A103" s="3"/>
      <c r="B103" s="66"/>
      <c r="C103" s="66"/>
      <c r="D103" s="66"/>
      <c r="E103" s="66"/>
      <c r="H103" s="3"/>
      <c r="I103" s="68"/>
      <c r="J103" s="68"/>
      <c r="K103" s="68"/>
      <c r="L103" s="68"/>
    </row>
    <row r="104" ht="13.5" customHeight="1" spans="1:12">
      <c r="A104" s="3"/>
      <c r="B104" s="66"/>
      <c r="C104" s="66"/>
      <c r="D104" s="66"/>
      <c r="E104" s="66"/>
      <c r="H104" s="3"/>
      <c r="I104" s="68"/>
      <c r="J104" s="68"/>
      <c r="K104" s="68"/>
      <c r="L104" s="68"/>
    </row>
    <row r="105" ht="13.5" customHeight="1" spans="1:12">
      <c r="A105" s="3"/>
      <c r="B105" s="66"/>
      <c r="C105" s="66"/>
      <c r="D105" s="66"/>
      <c r="E105" s="66"/>
      <c r="H105" s="3"/>
      <c r="I105" s="68"/>
      <c r="J105" s="68"/>
      <c r="K105" s="68"/>
      <c r="L105" s="68"/>
    </row>
    <row r="106" ht="13.5" customHeight="1" spans="1:12">
      <c r="A106" s="3"/>
      <c r="B106" s="66"/>
      <c r="C106" s="66"/>
      <c r="D106" s="66"/>
      <c r="E106" s="66"/>
      <c r="H106" s="3"/>
      <c r="I106" s="68"/>
      <c r="J106" s="68"/>
      <c r="K106" s="68"/>
      <c r="L106" s="68"/>
    </row>
    <row r="107" ht="13.5" customHeight="1" spans="1:12">
      <c r="A107" s="3"/>
      <c r="B107" s="66"/>
      <c r="C107" s="66"/>
      <c r="D107" s="66"/>
      <c r="E107" s="66"/>
      <c r="H107" s="3"/>
      <c r="I107" s="68"/>
      <c r="J107" s="68"/>
      <c r="K107" s="68"/>
      <c r="L107" s="68"/>
    </row>
    <row r="108" ht="13.5" customHeight="1" spans="1:12">
      <c r="A108" s="3"/>
      <c r="B108" s="66"/>
      <c r="C108" s="66"/>
      <c r="D108" s="66"/>
      <c r="E108" s="66"/>
      <c r="H108" s="3"/>
      <c r="I108" s="68"/>
      <c r="J108" s="68"/>
      <c r="K108" s="68"/>
      <c r="L108" s="68"/>
    </row>
    <row r="109" ht="13.5" customHeight="1" spans="1:12">
      <c r="A109" s="3"/>
      <c r="B109" s="66"/>
      <c r="C109" s="66"/>
      <c r="D109" s="66"/>
      <c r="E109" s="66"/>
      <c r="H109" s="3"/>
      <c r="I109" s="68"/>
      <c r="J109" s="68"/>
      <c r="K109" s="68"/>
      <c r="L109" s="68"/>
    </row>
    <row r="110" ht="13.5" customHeight="1" spans="1:12">
      <c r="A110" s="3"/>
      <c r="B110" s="66"/>
      <c r="C110" s="66"/>
      <c r="D110" s="66"/>
      <c r="E110" s="66"/>
      <c r="H110" s="3"/>
      <c r="I110" s="68"/>
      <c r="J110" s="68"/>
      <c r="K110" s="68"/>
      <c r="L110" s="68"/>
    </row>
    <row r="111" ht="13.5" customHeight="1" spans="1:12">
      <c r="A111" s="3"/>
      <c r="B111" s="66"/>
      <c r="C111" s="66"/>
      <c r="D111" s="66"/>
      <c r="E111" s="66"/>
      <c r="H111" s="3"/>
      <c r="I111" s="68"/>
      <c r="J111" s="68"/>
      <c r="K111" s="68"/>
      <c r="L111" s="68"/>
    </row>
    <row r="112" ht="13.5" customHeight="1" spans="1:12">
      <c r="A112" s="3"/>
      <c r="B112" s="66"/>
      <c r="C112" s="66"/>
      <c r="D112" s="66"/>
      <c r="E112" s="66"/>
      <c r="H112" s="3"/>
      <c r="I112" s="68"/>
      <c r="J112" s="68"/>
      <c r="K112" s="68"/>
      <c r="L112" s="68"/>
    </row>
    <row r="113" ht="13.5" customHeight="1" spans="1:12">
      <c r="A113" s="3"/>
      <c r="B113" s="66"/>
      <c r="C113" s="66"/>
      <c r="D113" s="66"/>
      <c r="E113" s="66"/>
      <c r="H113" s="3"/>
      <c r="I113" s="68"/>
      <c r="J113" s="68"/>
      <c r="K113" s="68"/>
      <c r="L113" s="68"/>
    </row>
    <row r="114" ht="13.5" customHeight="1" spans="1:12">
      <c r="A114" s="3"/>
      <c r="B114" s="66"/>
      <c r="C114" s="66"/>
      <c r="D114" s="66"/>
      <c r="E114" s="66"/>
      <c r="H114" s="3"/>
      <c r="I114" s="68"/>
      <c r="J114" s="68"/>
      <c r="K114" s="68"/>
      <c r="L114" s="68"/>
    </row>
    <row r="115" ht="13.5" customHeight="1" spans="1:12">
      <c r="A115" s="3"/>
      <c r="B115" s="66"/>
      <c r="C115" s="66"/>
      <c r="D115" s="66"/>
      <c r="E115" s="66"/>
      <c r="H115" s="3"/>
      <c r="I115" s="68"/>
      <c r="J115" s="68"/>
      <c r="K115" s="68"/>
      <c r="L115" s="68"/>
    </row>
    <row r="116" ht="13.5" customHeight="1" spans="1:12">
      <c r="A116" s="3"/>
      <c r="B116" s="66"/>
      <c r="C116" s="66"/>
      <c r="D116" s="66"/>
      <c r="E116" s="66"/>
      <c r="H116" s="3"/>
      <c r="I116" s="68"/>
      <c r="J116" s="68"/>
      <c r="K116" s="68"/>
      <c r="L116" s="68"/>
    </row>
    <row r="117" ht="13.5" customHeight="1" spans="1:12">
      <c r="A117" s="3"/>
      <c r="B117" s="66"/>
      <c r="C117" s="66"/>
      <c r="D117" s="66"/>
      <c r="E117" s="66"/>
      <c r="H117" s="3"/>
      <c r="I117" s="68"/>
      <c r="J117" s="68"/>
      <c r="K117" s="68"/>
      <c r="L117" s="68"/>
    </row>
    <row r="118" ht="13.5" customHeight="1" spans="1:12">
      <c r="A118" s="3"/>
      <c r="B118" s="66"/>
      <c r="C118" s="66"/>
      <c r="D118" s="66"/>
      <c r="E118" s="66"/>
      <c r="H118" s="3"/>
      <c r="I118" s="68"/>
      <c r="J118" s="68"/>
      <c r="K118" s="68"/>
      <c r="L118" s="68"/>
    </row>
    <row r="119" ht="13.5" customHeight="1" spans="1:12">
      <c r="A119" s="3"/>
      <c r="B119" s="66"/>
      <c r="C119" s="66"/>
      <c r="D119" s="66"/>
      <c r="E119" s="66"/>
      <c r="H119" s="3"/>
      <c r="I119" s="68"/>
      <c r="J119" s="68"/>
      <c r="K119" s="68"/>
      <c r="L119" s="68"/>
    </row>
    <row r="120" ht="13.5" customHeight="1" spans="1:12">
      <c r="A120" s="3"/>
      <c r="B120" s="66"/>
      <c r="C120" s="66"/>
      <c r="D120" s="66"/>
      <c r="E120" s="66"/>
      <c r="H120" s="3"/>
      <c r="I120" s="68"/>
      <c r="J120" s="68"/>
      <c r="K120" s="68"/>
      <c r="L120" s="68"/>
    </row>
    <row r="121" ht="13.5" customHeight="1" spans="1:12">
      <c r="A121" s="3"/>
      <c r="B121" s="66"/>
      <c r="C121" s="66"/>
      <c r="D121" s="66"/>
      <c r="E121" s="66"/>
      <c r="H121" s="3"/>
      <c r="I121" s="68"/>
      <c r="J121" s="68"/>
      <c r="K121" s="68"/>
      <c r="L121" s="68"/>
    </row>
    <row r="122" ht="13.5" customHeight="1" spans="1:12">
      <c r="A122" s="3"/>
      <c r="B122" s="66"/>
      <c r="C122" s="66"/>
      <c r="D122" s="66"/>
      <c r="E122" s="66"/>
      <c r="H122" s="3"/>
      <c r="I122" s="68"/>
      <c r="J122" s="68"/>
      <c r="K122" s="68"/>
      <c r="L122" s="68"/>
    </row>
    <row r="123" ht="13.5" customHeight="1" spans="1:12">
      <c r="A123" s="3"/>
      <c r="B123" s="66"/>
      <c r="C123" s="66"/>
      <c r="D123" s="66"/>
      <c r="E123" s="66"/>
      <c r="H123" s="3"/>
      <c r="I123" s="68"/>
      <c r="J123" s="68"/>
      <c r="K123" s="68"/>
      <c r="L123" s="68"/>
    </row>
    <row r="124" ht="13.5" customHeight="1" spans="1:12">
      <c r="A124" s="3"/>
      <c r="B124" s="66"/>
      <c r="C124" s="66"/>
      <c r="D124" s="66"/>
      <c r="E124" s="66"/>
      <c r="H124" s="3"/>
      <c r="I124" s="68"/>
      <c r="J124" s="68"/>
      <c r="K124" s="68"/>
      <c r="L124" s="68"/>
    </row>
    <row r="125" ht="13.5" customHeight="1" spans="1:12">
      <c r="A125" s="3"/>
      <c r="B125" s="66"/>
      <c r="C125" s="66"/>
      <c r="D125" s="66"/>
      <c r="E125" s="66"/>
      <c r="H125" s="3"/>
      <c r="I125" s="68"/>
      <c r="J125" s="68"/>
      <c r="K125" s="68"/>
      <c r="L125" s="68"/>
    </row>
    <row r="126" ht="13.5" customHeight="1" spans="1:12">
      <c r="A126" s="3"/>
      <c r="B126" s="66"/>
      <c r="C126" s="66"/>
      <c r="D126" s="66"/>
      <c r="E126" s="66"/>
      <c r="H126" s="3"/>
      <c r="I126" s="68"/>
      <c r="J126" s="68"/>
      <c r="K126" s="68"/>
      <c r="L126" s="68"/>
    </row>
    <row r="127" ht="13.5" customHeight="1" spans="1:12">
      <c r="A127" s="3"/>
      <c r="B127" s="66"/>
      <c r="C127" s="66"/>
      <c r="D127" s="66"/>
      <c r="E127" s="66"/>
      <c r="H127" s="3"/>
      <c r="I127" s="68"/>
      <c r="J127" s="68"/>
      <c r="K127" s="68"/>
      <c r="L127" s="68"/>
    </row>
    <row r="128" ht="13.5" customHeight="1" spans="1:12">
      <c r="A128" s="3"/>
      <c r="B128" s="66"/>
      <c r="C128" s="66"/>
      <c r="D128" s="66"/>
      <c r="E128" s="66"/>
      <c r="H128" s="3"/>
      <c r="I128" s="68"/>
      <c r="J128" s="68"/>
      <c r="K128" s="68"/>
      <c r="L128" s="68"/>
    </row>
    <row r="129" ht="13.5" customHeight="1" spans="1:12">
      <c r="A129" s="3"/>
      <c r="B129" s="66"/>
      <c r="C129" s="66"/>
      <c r="D129" s="66"/>
      <c r="E129" s="66"/>
      <c r="H129" s="3"/>
      <c r="I129" s="68"/>
      <c r="J129" s="68"/>
      <c r="K129" s="68"/>
      <c r="L129" s="68"/>
    </row>
    <row r="130" ht="13.5" customHeight="1" spans="1:12">
      <c r="A130" s="3"/>
      <c r="B130" s="66"/>
      <c r="C130" s="66"/>
      <c r="D130" s="66"/>
      <c r="E130" s="66"/>
      <c r="H130" s="3"/>
      <c r="I130" s="68"/>
      <c r="J130" s="68"/>
      <c r="K130" s="68"/>
      <c r="L130" s="68"/>
    </row>
    <row r="131" ht="13.5" customHeight="1" spans="1:12">
      <c r="A131" s="3"/>
      <c r="B131" s="66"/>
      <c r="C131" s="66"/>
      <c r="D131" s="66"/>
      <c r="E131" s="66"/>
      <c r="H131" s="3"/>
      <c r="I131" s="68"/>
      <c r="J131" s="68"/>
      <c r="K131" s="68"/>
      <c r="L131" s="68"/>
    </row>
    <row r="132" ht="13.5" customHeight="1" spans="1:12">
      <c r="A132" s="3"/>
      <c r="B132" s="66"/>
      <c r="C132" s="66"/>
      <c r="D132" s="66"/>
      <c r="E132" s="66"/>
      <c r="H132" s="3"/>
      <c r="I132" s="68"/>
      <c r="J132" s="68"/>
      <c r="K132" s="68"/>
      <c r="L132" s="68"/>
    </row>
    <row r="133" ht="13.5" customHeight="1" spans="1:12">
      <c r="A133" s="3"/>
      <c r="B133" s="66"/>
      <c r="C133" s="66"/>
      <c r="D133" s="66"/>
      <c r="E133" s="66"/>
      <c r="H133" s="3"/>
      <c r="I133" s="68"/>
      <c r="J133" s="68"/>
      <c r="K133" s="68"/>
      <c r="L133" s="68"/>
    </row>
    <row r="134" ht="13.5" customHeight="1" spans="1:12">
      <c r="A134" s="3"/>
      <c r="B134" s="66"/>
      <c r="C134" s="66"/>
      <c r="D134" s="66"/>
      <c r="E134" s="66"/>
      <c r="H134" s="3"/>
      <c r="I134" s="68"/>
      <c r="J134" s="68"/>
      <c r="K134" s="68"/>
      <c r="L134" s="68"/>
    </row>
    <row r="135" ht="13.5" customHeight="1" spans="1:12">
      <c r="A135" s="3"/>
      <c r="B135" s="66"/>
      <c r="C135" s="66"/>
      <c r="D135" s="66"/>
      <c r="E135" s="66"/>
      <c r="H135" s="3"/>
      <c r="I135" s="68"/>
      <c r="J135" s="68"/>
      <c r="K135" s="68"/>
      <c r="L135" s="68"/>
    </row>
    <row r="136" ht="13.5" customHeight="1" spans="1:12">
      <c r="A136" s="3"/>
      <c r="B136" s="66"/>
      <c r="C136" s="66"/>
      <c r="D136" s="66"/>
      <c r="E136" s="66"/>
      <c r="H136" s="3"/>
      <c r="I136" s="68"/>
      <c r="J136" s="68"/>
      <c r="K136" s="68"/>
      <c r="L136" s="68"/>
    </row>
    <row r="137" ht="13.5" customHeight="1" spans="1:12">
      <c r="A137" s="3"/>
      <c r="B137" s="66"/>
      <c r="C137" s="66"/>
      <c r="D137" s="66"/>
      <c r="E137" s="66"/>
      <c r="H137" s="3"/>
      <c r="I137" s="68"/>
      <c r="J137" s="68"/>
      <c r="K137" s="68"/>
      <c r="L137" s="68"/>
    </row>
    <row r="138" ht="13.5" customHeight="1" spans="1:12">
      <c r="A138" s="3"/>
      <c r="B138" s="66"/>
      <c r="C138" s="66"/>
      <c r="D138" s="66"/>
      <c r="E138" s="66"/>
      <c r="H138" s="3"/>
      <c r="I138" s="68"/>
      <c r="J138" s="68"/>
      <c r="K138" s="68"/>
      <c r="L138" s="68"/>
    </row>
    <row r="139" ht="13.5" customHeight="1" spans="1:12">
      <c r="A139" s="3"/>
      <c r="B139" s="66"/>
      <c r="C139" s="66"/>
      <c r="D139" s="66"/>
      <c r="E139" s="66"/>
      <c r="H139" s="3"/>
      <c r="I139" s="68"/>
      <c r="J139" s="68"/>
      <c r="K139" s="68"/>
      <c r="L139" s="68"/>
    </row>
    <row r="140" ht="13.5" customHeight="1" spans="1:12">
      <c r="A140" s="3"/>
      <c r="B140" s="66"/>
      <c r="C140" s="66"/>
      <c r="D140" s="66"/>
      <c r="E140" s="66"/>
      <c r="H140" s="3"/>
      <c r="I140" s="68"/>
      <c r="J140" s="68"/>
      <c r="K140" s="68"/>
      <c r="L140" s="68"/>
    </row>
    <row r="141" ht="13.5" customHeight="1" spans="1:12">
      <c r="A141" s="3"/>
      <c r="B141" s="66"/>
      <c r="C141" s="66"/>
      <c r="D141" s="66"/>
      <c r="E141" s="66"/>
      <c r="H141" s="3"/>
      <c r="I141" s="68"/>
      <c r="J141" s="68"/>
      <c r="K141" s="68"/>
      <c r="L141" s="68"/>
    </row>
    <row r="142" ht="13.5" customHeight="1" spans="1:12">
      <c r="A142" s="3"/>
      <c r="B142" s="66"/>
      <c r="C142" s="66"/>
      <c r="D142" s="66"/>
      <c r="E142" s="66"/>
      <c r="H142" s="3"/>
      <c r="I142" s="68"/>
      <c r="J142" s="68"/>
      <c r="K142" s="68"/>
      <c r="L142" s="68"/>
    </row>
    <row r="143" ht="13.5" customHeight="1" spans="1:12">
      <c r="A143" s="3"/>
      <c r="B143" s="66"/>
      <c r="C143" s="66"/>
      <c r="D143" s="66"/>
      <c r="E143" s="66"/>
      <c r="H143" s="3"/>
      <c r="I143" s="68"/>
      <c r="J143" s="68"/>
      <c r="K143" s="68"/>
      <c r="L143" s="68"/>
    </row>
    <row r="144" ht="13.5" customHeight="1" spans="1:12">
      <c r="A144" s="3"/>
      <c r="B144" s="66"/>
      <c r="C144" s="66"/>
      <c r="D144" s="66"/>
      <c r="E144" s="66"/>
      <c r="H144" s="3"/>
      <c r="I144" s="68"/>
      <c r="J144" s="68"/>
      <c r="K144" s="68"/>
      <c r="L144" s="68"/>
    </row>
    <row r="145" ht="13.5" customHeight="1" spans="1:12">
      <c r="A145" s="3"/>
      <c r="B145" s="66"/>
      <c r="C145" s="66"/>
      <c r="D145" s="66"/>
      <c r="E145" s="66"/>
      <c r="H145" s="3"/>
      <c r="I145" s="68"/>
      <c r="J145" s="68"/>
      <c r="K145" s="68"/>
      <c r="L145" s="68"/>
    </row>
    <row r="146" ht="13.5" customHeight="1" spans="1:12">
      <c r="A146" s="3"/>
      <c r="B146" s="66"/>
      <c r="C146" s="66"/>
      <c r="D146" s="66"/>
      <c r="E146" s="66"/>
      <c r="H146" s="3"/>
      <c r="I146" s="68"/>
      <c r="J146" s="68"/>
      <c r="K146" s="68"/>
      <c r="L146" s="68"/>
    </row>
    <row r="147" ht="13.5" customHeight="1" spans="1:12">
      <c r="A147" s="3"/>
      <c r="B147" s="66"/>
      <c r="C147" s="66"/>
      <c r="D147" s="66"/>
      <c r="E147" s="66"/>
      <c r="H147" s="3"/>
      <c r="I147" s="68"/>
      <c r="J147" s="68"/>
      <c r="K147" s="68"/>
      <c r="L147" s="68"/>
    </row>
    <row r="148" ht="13.5" customHeight="1" spans="1:12">
      <c r="A148" s="3"/>
      <c r="B148" s="66"/>
      <c r="C148" s="66"/>
      <c r="D148" s="66"/>
      <c r="E148" s="66"/>
      <c r="H148" s="3"/>
      <c r="I148" s="68"/>
      <c r="J148" s="68"/>
      <c r="K148" s="68"/>
      <c r="L148" s="68"/>
    </row>
    <row r="149" ht="13.5" customHeight="1" spans="1:12">
      <c r="A149" s="3"/>
      <c r="B149" s="66"/>
      <c r="C149" s="66"/>
      <c r="D149" s="66"/>
      <c r="E149" s="66"/>
      <c r="H149" s="3"/>
      <c r="I149" s="68"/>
      <c r="J149" s="68"/>
      <c r="K149" s="68"/>
      <c r="L149" s="68"/>
    </row>
    <row r="150" ht="13.5" customHeight="1" spans="1:12">
      <c r="A150" s="3"/>
      <c r="B150" s="66"/>
      <c r="C150" s="66"/>
      <c r="D150" s="66"/>
      <c r="E150" s="66"/>
      <c r="H150" s="3"/>
      <c r="I150" s="68"/>
      <c r="J150" s="68"/>
      <c r="K150" s="68"/>
      <c r="L150" s="68"/>
    </row>
    <row r="151" ht="13.5" customHeight="1" spans="1:12">
      <c r="A151" s="3"/>
      <c r="B151" s="66"/>
      <c r="C151" s="66"/>
      <c r="D151" s="66"/>
      <c r="E151" s="66"/>
      <c r="H151" s="3"/>
      <c r="I151" s="68"/>
      <c r="J151" s="68"/>
      <c r="K151" s="68"/>
      <c r="L151" s="68"/>
    </row>
    <row r="152" ht="13.5" customHeight="1" spans="1:12">
      <c r="A152" s="3"/>
      <c r="B152" s="66"/>
      <c r="C152" s="66"/>
      <c r="D152" s="66"/>
      <c r="E152" s="66"/>
      <c r="H152" s="3"/>
      <c r="I152" s="68"/>
      <c r="J152" s="68"/>
      <c r="K152" s="68"/>
      <c r="L152" s="68"/>
    </row>
    <row r="153" ht="13.5" customHeight="1" spans="1:12">
      <c r="A153" s="3"/>
      <c r="B153" s="66"/>
      <c r="C153" s="66"/>
      <c r="D153" s="66"/>
      <c r="E153" s="66"/>
      <c r="H153" s="3"/>
      <c r="I153" s="68"/>
      <c r="J153" s="68"/>
      <c r="K153" s="68"/>
      <c r="L153" s="68"/>
    </row>
    <row r="154" ht="13.5" customHeight="1" spans="1:12">
      <c r="A154" s="3"/>
      <c r="B154" s="66"/>
      <c r="C154" s="66"/>
      <c r="D154" s="66"/>
      <c r="E154" s="66"/>
      <c r="H154" s="3"/>
      <c r="I154" s="68"/>
      <c r="J154" s="68"/>
      <c r="K154" s="68"/>
      <c r="L154" s="68"/>
    </row>
    <row r="155" ht="13.5" customHeight="1" spans="1:12">
      <c r="A155" s="3"/>
      <c r="B155" s="66"/>
      <c r="C155" s="66"/>
      <c r="D155" s="66"/>
      <c r="E155" s="66"/>
      <c r="H155" s="3"/>
      <c r="I155" s="68"/>
      <c r="J155" s="68"/>
      <c r="K155" s="68"/>
      <c r="L155" s="68"/>
    </row>
    <row r="156" ht="13.5" customHeight="1" spans="1:12">
      <c r="A156" s="3"/>
      <c r="B156" s="66"/>
      <c r="C156" s="66"/>
      <c r="D156" s="66"/>
      <c r="E156" s="66"/>
      <c r="H156" s="3"/>
      <c r="I156" s="68"/>
      <c r="J156" s="68"/>
      <c r="K156" s="68"/>
      <c r="L156" s="68"/>
    </row>
    <row r="157" ht="13.5" customHeight="1" spans="1:12">
      <c r="A157" s="3"/>
      <c r="B157" s="66"/>
      <c r="C157" s="66"/>
      <c r="D157" s="66"/>
      <c r="E157" s="66"/>
      <c r="H157" s="3"/>
      <c r="I157" s="68"/>
      <c r="J157" s="68"/>
      <c r="K157" s="68"/>
      <c r="L157" s="68"/>
    </row>
    <row r="158" ht="13.5" customHeight="1" spans="1:12">
      <c r="A158" s="3"/>
      <c r="B158" s="66"/>
      <c r="C158" s="66"/>
      <c r="D158" s="66"/>
      <c r="E158" s="66"/>
      <c r="H158" s="3"/>
      <c r="I158" s="68"/>
      <c r="J158" s="68"/>
      <c r="K158" s="68"/>
      <c r="L158" s="68"/>
    </row>
    <row r="159" ht="13.5" customHeight="1" spans="1:12">
      <c r="A159" s="3"/>
      <c r="B159" s="66"/>
      <c r="C159" s="66"/>
      <c r="D159" s="66"/>
      <c r="E159" s="66"/>
      <c r="H159" s="3"/>
      <c r="I159" s="68"/>
      <c r="J159" s="68"/>
      <c r="K159" s="68"/>
      <c r="L159" s="68"/>
    </row>
    <row r="160" ht="13.5" customHeight="1" spans="1:12">
      <c r="A160" s="3"/>
      <c r="B160" s="66"/>
      <c r="C160" s="66"/>
      <c r="D160" s="66"/>
      <c r="E160" s="66"/>
      <c r="H160" s="3"/>
      <c r="I160" s="68"/>
      <c r="J160" s="68"/>
      <c r="K160" s="68"/>
      <c r="L160" s="68"/>
    </row>
    <row r="161" ht="13.5" customHeight="1" spans="1:12">
      <c r="A161" s="3"/>
      <c r="B161" s="66"/>
      <c r="C161" s="66"/>
      <c r="D161" s="66"/>
      <c r="E161" s="66"/>
      <c r="H161" s="3"/>
      <c r="I161" s="68"/>
      <c r="J161" s="68"/>
      <c r="K161" s="68"/>
      <c r="L161" s="68"/>
    </row>
    <row r="162" ht="13.5" customHeight="1" spans="1:12">
      <c r="A162" s="3"/>
      <c r="B162" s="66"/>
      <c r="C162" s="66"/>
      <c r="D162" s="66"/>
      <c r="E162" s="66"/>
      <c r="H162" s="3"/>
      <c r="I162" s="68"/>
      <c r="J162" s="68"/>
      <c r="K162" s="68"/>
      <c r="L162" s="68"/>
    </row>
    <row r="163" ht="13.5" customHeight="1" spans="1:12">
      <c r="A163" s="3"/>
      <c r="B163" s="66"/>
      <c r="C163" s="66"/>
      <c r="D163" s="66"/>
      <c r="E163" s="66"/>
      <c r="H163" s="3"/>
      <c r="I163" s="68"/>
      <c r="J163" s="68"/>
      <c r="K163" s="68"/>
      <c r="L163" s="68"/>
    </row>
    <row r="164" ht="13.5" customHeight="1" spans="1:12">
      <c r="A164" s="3"/>
      <c r="B164" s="66"/>
      <c r="C164" s="66"/>
      <c r="D164" s="66"/>
      <c r="E164" s="66"/>
      <c r="H164" s="3"/>
      <c r="I164" s="68"/>
      <c r="J164" s="68"/>
      <c r="K164" s="68"/>
      <c r="L164" s="68"/>
    </row>
    <row r="165" ht="13.5" customHeight="1" spans="1:12">
      <c r="A165" s="3"/>
      <c r="B165" s="66"/>
      <c r="C165" s="66"/>
      <c r="D165" s="66"/>
      <c r="E165" s="66"/>
      <c r="H165" s="3"/>
      <c r="I165" s="68"/>
      <c r="J165" s="68"/>
      <c r="K165" s="68"/>
      <c r="L165" s="68"/>
    </row>
    <row r="166" ht="13.5" customHeight="1" spans="1:12">
      <c r="A166" s="3"/>
      <c r="B166" s="66"/>
      <c r="C166" s="66"/>
      <c r="D166" s="66"/>
      <c r="E166" s="66"/>
      <c r="H166" s="3"/>
      <c r="I166" s="68"/>
      <c r="J166" s="68"/>
      <c r="K166" s="68"/>
      <c r="L166" s="68"/>
    </row>
    <row r="167" ht="13.5" customHeight="1" spans="1:12">
      <c r="A167" s="3"/>
      <c r="B167" s="66"/>
      <c r="C167" s="66"/>
      <c r="D167" s="66"/>
      <c r="E167" s="66"/>
      <c r="H167" s="3"/>
      <c r="I167" s="68"/>
      <c r="J167" s="68"/>
      <c r="K167" s="68"/>
      <c r="L167" s="68"/>
    </row>
    <row r="168" ht="13.5" customHeight="1" spans="1:12">
      <c r="A168" s="3"/>
      <c r="B168" s="66"/>
      <c r="C168" s="66"/>
      <c r="D168" s="66"/>
      <c r="E168" s="66"/>
      <c r="H168" s="3"/>
      <c r="I168" s="68"/>
      <c r="J168" s="68"/>
      <c r="K168" s="68"/>
      <c r="L168" s="68"/>
    </row>
    <row r="169" ht="13.5" customHeight="1" spans="1:12">
      <c r="A169" s="3"/>
      <c r="B169" s="66"/>
      <c r="C169" s="66"/>
      <c r="D169" s="66"/>
      <c r="E169" s="66"/>
      <c r="H169" s="3"/>
      <c r="I169" s="68"/>
      <c r="J169" s="68"/>
      <c r="K169" s="68"/>
      <c r="L169" s="68"/>
    </row>
    <row r="170" ht="13.5" customHeight="1" spans="1:12">
      <c r="A170" s="3"/>
      <c r="B170" s="66"/>
      <c r="C170" s="66"/>
      <c r="D170" s="66"/>
      <c r="E170" s="66"/>
      <c r="H170" s="3"/>
      <c r="I170" s="68"/>
      <c r="J170" s="68"/>
      <c r="K170" s="68"/>
      <c r="L170" s="68"/>
    </row>
    <row r="171" ht="13.5" customHeight="1" spans="1:12">
      <c r="A171" s="3"/>
      <c r="B171" s="66"/>
      <c r="C171" s="66"/>
      <c r="D171" s="66"/>
      <c r="E171" s="66"/>
      <c r="H171" s="3"/>
      <c r="I171" s="68"/>
      <c r="J171" s="68"/>
      <c r="K171" s="68"/>
      <c r="L171" s="68"/>
    </row>
    <row r="172" ht="13.5" customHeight="1" spans="1:12">
      <c r="A172" s="3"/>
      <c r="B172" s="66"/>
      <c r="C172" s="66"/>
      <c r="D172" s="66"/>
      <c r="E172" s="66"/>
      <c r="H172" s="3"/>
      <c r="I172" s="68"/>
      <c r="J172" s="68"/>
      <c r="K172" s="68"/>
      <c r="L172" s="68"/>
    </row>
    <row r="173" ht="13.5" customHeight="1" spans="1:12">
      <c r="A173" s="3"/>
      <c r="B173" s="66"/>
      <c r="C173" s="66"/>
      <c r="D173" s="66"/>
      <c r="E173" s="66"/>
      <c r="H173" s="3"/>
      <c r="I173" s="68"/>
      <c r="J173" s="68"/>
      <c r="K173" s="68"/>
      <c r="L173" s="68"/>
    </row>
    <row r="174" ht="13.5" customHeight="1" spans="1:12">
      <c r="A174" s="3"/>
      <c r="B174" s="66"/>
      <c r="C174" s="66"/>
      <c r="D174" s="66"/>
      <c r="E174" s="66"/>
      <c r="H174" s="3"/>
      <c r="I174" s="68"/>
      <c r="J174" s="68"/>
      <c r="K174" s="68"/>
      <c r="L174" s="68"/>
    </row>
    <row r="175" ht="13.5" customHeight="1" spans="1:12">
      <c r="A175" s="3"/>
      <c r="B175" s="66"/>
      <c r="C175" s="66"/>
      <c r="D175" s="66"/>
      <c r="E175" s="66"/>
      <c r="H175" s="3"/>
      <c r="I175" s="68"/>
      <c r="J175" s="68"/>
      <c r="K175" s="68"/>
      <c r="L175" s="68"/>
    </row>
    <row r="176" ht="13.5" customHeight="1" spans="1:12">
      <c r="A176" s="3"/>
      <c r="B176" s="66"/>
      <c r="C176" s="66"/>
      <c r="D176" s="66"/>
      <c r="E176" s="66"/>
      <c r="H176" s="3"/>
      <c r="I176" s="68"/>
      <c r="J176" s="68"/>
      <c r="K176" s="68"/>
      <c r="L176" s="68"/>
    </row>
    <row r="177" ht="13.5" customHeight="1" spans="1:12">
      <c r="A177" s="3"/>
      <c r="B177" s="66"/>
      <c r="C177" s="66"/>
      <c r="D177" s="66"/>
      <c r="E177" s="66"/>
      <c r="H177" s="3"/>
      <c r="I177" s="68"/>
      <c r="J177" s="68"/>
      <c r="K177" s="68"/>
      <c r="L177" s="68"/>
    </row>
    <row r="178" ht="13.5" customHeight="1" spans="1:12">
      <c r="A178" s="3"/>
      <c r="B178" s="66"/>
      <c r="C178" s="66"/>
      <c r="D178" s="66"/>
      <c r="E178" s="66"/>
      <c r="H178" s="3"/>
      <c r="I178" s="68"/>
      <c r="J178" s="68"/>
      <c r="K178" s="68"/>
      <c r="L178" s="68"/>
    </row>
    <row r="179" ht="13.5" customHeight="1" spans="1:12">
      <c r="A179" s="3"/>
      <c r="B179" s="66"/>
      <c r="C179" s="66"/>
      <c r="D179" s="66"/>
      <c r="E179" s="66"/>
      <c r="H179" s="3"/>
      <c r="I179" s="68"/>
      <c r="J179" s="68"/>
      <c r="K179" s="68"/>
      <c r="L179" s="68"/>
    </row>
    <row r="180" ht="13.5" customHeight="1" spans="1:12">
      <c r="A180" s="3"/>
      <c r="B180" s="66"/>
      <c r="C180" s="66"/>
      <c r="D180" s="66"/>
      <c r="E180" s="66"/>
      <c r="H180" s="3"/>
      <c r="I180" s="68"/>
      <c r="J180" s="68"/>
      <c r="K180" s="68"/>
      <c r="L180" s="68"/>
    </row>
    <row r="181" ht="13.5" customHeight="1" spans="1:12">
      <c r="A181" s="3"/>
      <c r="B181" s="66"/>
      <c r="C181" s="66"/>
      <c r="D181" s="66"/>
      <c r="E181" s="66"/>
      <c r="H181" s="3"/>
      <c r="I181" s="68"/>
      <c r="J181" s="68"/>
      <c r="K181" s="68"/>
      <c r="L181" s="68"/>
    </row>
    <row r="182" ht="13.5" customHeight="1" spans="1:12">
      <c r="A182" s="3"/>
      <c r="B182" s="66"/>
      <c r="C182" s="66"/>
      <c r="D182" s="66"/>
      <c r="E182" s="66"/>
      <c r="H182" s="3"/>
      <c r="I182" s="68"/>
      <c r="J182" s="68"/>
      <c r="K182" s="68"/>
      <c r="L182" s="68"/>
    </row>
    <row r="183" ht="13.5" customHeight="1" spans="1:12">
      <c r="A183" s="3"/>
      <c r="B183" s="66"/>
      <c r="C183" s="66"/>
      <c r="D183" s="66"/>
      <c r="E183" s="66"/>
      <c r="H183" s="3"/>
      <c r="I183" s="68"/>
      <c r="J183" s="68"/>
      <c r="K183" s="68"/>
      <c r="L183" s="68"/>
    </row>
    <row r="184" ht="13.5" customHeight="1" spans="1:12">
      <c r="A184" s="3"/>
      <c r="B184" s="66"/>
      <c r="C184" s="66"/>
      <c r="D184" s="66"/>
      <c r="E184" s="66"/>
      <c r="H184" s="3"/>
      <c r="I184" s="68"/>
      <c r="J184" s="68"/>
      <c r="K184" s="68"/>
      <c r="L184" s="68"/>
    </row>
    <row r="185" ht="13.5" customHeight="1" spans="1:12">
      <c r="A185" s="3"/>
      <c r="B185" s="66"/>
      <c r="C185" s="66"/>
      <c r="D185" s="66"/>
      <c r="E185" s="66"/>
      <c r="H185" s="3"/>
      <c r="I185" s="68"/>
      <c r="J185" s="68"/>
      <c r="K185" s="68"/>
      <c r="L185" s="68"/>
    </row>
    <row r="186" ht="13.5" customHeight="1" spans="1:12">
      <c r="A186" s="3"/>
      <c r="B186" s="66"/>
      <c r="C186" s="66"/>
      <c r="D186" s="66"/>
      <c r="E186" s="66"/>
      <c r="H186" s="3"/>
      <c r="I186" s="68"/>
      <c r="J186" s="68"/>
      <c r="K186" s="68"/>
      <c r="L186" s="68"/>
    </row>
    <row r="187" ht="13.5" customHeight="1" spans="1:12">
      <c r="A187" s="3"/>
      <c r="B187" s="66"/>
      <c r="C187" s="66"/>
      <c r="D187" s="66"/>
      <c r="E187" s="66"/>
      <c r="H187" s="3"/>
      <c r="I187" s="68"/>
      <c r="J187" s="68"/>
      <c r="K187" s="68"/>
      <c r="L187" s="68"/>
    </row>
    <row r="188" ht="13.5" customHeight="1" spans="1:12">
      <c r="A188" s="3"/>
      <c r="B188" s="66"/>
      <c r="C188" s="66"/>
      <c r="D188" s="66"/>
      <c r="E188" s="66"/>
      <c r="H188" s="3"/>
      <c r="I188" s="68"/>
      <c r="J188" s="68"/>
      <c r="K188" s="68"/>
      <c r="L188" s="68"/>
    </row>
    <row r="189" ht="13.5" customHeight="1" spans="1:12">
      <c r="A189" s="3"/>
      <c r="B189" s="66"/>
      <c r="C189" s="66"/>
      <c r="D189" s="66"/>
      <c r="E189" s="66"/>
      <c r="H189" s="3"/>
      <c r="I189" s="68"/>
      <c r="J189" s="68"/>
      <c r="K189" s="68"/>
      <c r="L189" s="68"/>
    </row>
    <row r="190" ht="13.5" customHeight="1" spans="1:12">
      <c r="A190" s="3"/>
      <c r="B190" s="66"/>
      <c r="C190" s="66"/>
      <c r="D190" s="66"/>
      <c r="E190" s="66"/>
      <c r="H190" s="3"/>
      <c r="I190" s="68"/>
      <c r="J190" s="68"/>
      <c r="K190" s="68"/>
      <c r="L190" s="68"/>
    </row>
    <row r="191" ht="13.5" customHeight="1" spans="1:12">
      <c r="A191" s="3"/>
      <c r="B191" s="66"/>
      <c r="C191" s="66"/>
      <c r="D191" s="66"/>
      <c r="E191" s="66"/>
      <c r="H191" s="3"/>
      <c r="I191" s="68"/>
      <c r="J191" s="68"/>
      <c r="K191" s="68"/>
      <c r="L191" s="68"/>
    </row>
    <row r="192" spans="1:12">
      <c r="A192" s="3"/>
      <c r="B192" s="66"/>
      <c r="C192" s="66"/>
      <c r="D192" s="66"/>
      <c r="E192" s="66"/>
      <c r="H192" s="3"/>
      <c r="I192" s="68"/>
      <c r="J192" s="68"/>
      <c r="K192" s="68"/>
      <c r="L192" s="68"/>
    </row>
    <row r="193" spans="1:12">
      <c r="A193" s="3"/>
      <c r="B193" s="66"/>
      <c r="C193" s="66"/>
      <c r="D193" s="66"/>
      <c r="E193" s="66"/>
      <c r="H193" s="3"/>
      <c r="I193" s="68"/>
      <c r="J193" s="68"/>
      <c r="K193" s="68"/>
      <c r="L193" s="68"/>
    </row>
    <row r="194" spans="1:12">
      <c r="A194" s="3"/>
      <c r="B194" s="66"/>
      <c r="C194" s="66"/>
      <c r="D194" s="66"/>
      <c r="E194" s="66"/>
      <c r="H194" s="3"/>
      <c r="I194" s="68"/>
      <c r="J194" s="68"/>
      <c r="K194" s="68"/>
      <c r="L194" s="68"/>
    </row>
    <row r="195" spans="1:12">
      <c r="A195" s="3"/>
      <c r="B195" s="66"/>
      <c r="C195" s="66"/>
      <c r="D195" s="66"/>
      <c r="E195" s="66"/>
      <c r="H195" s="3"/>
      <c r="I195" s="68"/>
      <c r="J195" s="68"/>
      <c r="K195" s="68"/>
      <c r="L195" s="68"/>
    </row>
    <row r="196" spans="1:12">
      <c r="A196" s="3"/>
      <c r="B196" s="66"/>
      <c r="C196" s="66"/>
      <c r="D196" s="66"/>
      <c r="E196" s="66"/>
      <c r="H196" s="3"/>
      <c r="I196" s="68"/>
      <c r="J196" s="68"/>
      <c r="K196" s="68"/>
      <c r="L196" s="68"/>
    </row>
    <row r="197" spans="1:12">
      <c r="A197" s="3"/>
      <c r="B197" s="66"/>
      <c r="C197" s="66"/>
      <c r="D197" s="66"/>
      <c r="E197" s="66"/>
      <c r="H197" s="3"/>
      <c r="I197" s="68"/>
      <c r="J197" s="68"/>
      <c r="K197" s="68"/>
      <c r="L197" s="68"/>
    </row>
    <row r="198" spans="1:12">
      <c r="A198" s="3"/>
      <c r="B198" s="66"/>
      <c r="C198" s="66"/>
      <c r="D198" s="66"/>
      <c r="E198" s="66"/>
      <c r="H198" s="3"/>
      <c r="I198" s="68"/>
      <c r="J198" s="68"/>
      <c r="K198" s="68"/>
      <c r="L198" s="68"/>
    </row>
    <row r="199" spans="1:12">
      <c r="A199" s="3"/>
      <c r="B199" s="66"/>
      <c r="C199" s="66"/>
      <c r="D199" s="66"/>
      <c r="E199" s="66"/>
      <c r="H199" s="3"/>
      <c r="I199" s="68"/>
      <c r="J199" s="68"/>
      <c r="K199" s="68"/>
      <c r="L199" s="68"/>
    </row>
    <row r="200" spans="1:12">
      <c r="A200" s="3"/>
      <c r="B200" s="66"/>
      <c r="C200" s="66"/>
      <c r="D200" s="66"/>
      <c r="E200" s="66"/>
      <c r="H200" s="3"/>
      <c r="I200" s="68"/>
      <c r="J200" s="68"/>
      <c r="K200" s="68"/>
      <c r="L200" s="68"/>
    </row>
    <row r="201" spans="1:12">
      <c r="A201" s="3"/>
      <c r="B201" s="66"/>
      <c r="C201" s="66"/>
      <c r="D201" s="66"/>
      <c r="E201" s="66"/>
      <c r="H201" s="3"/>
      <c r="I201" s="68"/>
      <c r="J201" s="68"/>
      <c r="K201" s="68"/>
      <c r="L201" s="68"/>
    </row>
    <row r="202" spans="1:12">
      <c r="A202" s="3"/>
      <c r="B202" s="66"/>
      <c r="C202" s="66"/>
      <c r="D202" s="66"/>
      <c r="E202" s="66"/>
      <c r="H202" s="3"/>
      <c r="I202" s="68"/>
      <c r="J202" s="68"/>
      <c r="K202" s="68"/>
      <c r="L202" s="68"/>
    </row>
    <row r="203" spans="1:12">
      <c r="A203" s="3"/>
      <c r="B203" s="66"/>
      <c r="C203" s="66"/>
      <c r="D203" s="66"/>
      <c r="E203" s="66"/>
      <c r="H203" s="3"/>
      <c r="I203" s="68"/>
      <c r="J203" s="68"/>
      <c r="K203" s="68"/>
      <c r="L203" s="68"/>
    </row>
    <row r="204" spans="1:12">
      <c r="A204" s="3"/>
      <c r="B204" s="66"/>
      <c r="C204" s="66"/>
      <c r="D204" s="66"/>
      <c r="E204" s="66"/>
      <c r="H204" s="3"/>
      <c r="I204" s="68"/>
      <c r="J204" s="68"/>
      <c r="K204" s="68"/>
      <c r="L204" s="68"/>
    </row>
    <row r="205" spans="1:12">
      <c r="A205" s="3"/>
      <c r="B205" s="66"/>
      <c r="C205" s="66"/>
      <c r="D205" s="66"/>
      <c r="E205" s="66"/>
      <c r="H205" s="3"/>
      <c r="I205" s="68"/>
      <c r="J205" s="68"/>
      <c r="K205" s="68"/>
      <c r="L205" s="68"/>
    </row>
    <row r="206" spans="1:12">
      <c r="A206" s="3"/>
      <c r="B206" s="66"/>
      <c r="C206" s="66"/>
      <c r="D206" s="66"/>
      <c r="E206" s="66"/>
      <c r="H206" s="3"/>
      <c r="I206" s="68"/>
      <c r="J206" s="68"/>
      <c r="K206" s="68"/>
      <c r="L206" s="68"/>
    </row>
    <row r="207" spans="1:12">
      <c r="A207" s="3"/>
      <c r="B207" s="66"/>
      <c r="C207" s="66"/>
      <c r="D207" s="66"/>
      <c r="E207" s="66"/>
      <c r="H207" s="3"/>
      <c r="I207" s="68"/>
      <c r="J207" s="68"/>
      <c r="K207" s="68"/>
      <c r="L207" s="68"/>
    </row>
    <row r="208" spans="1:12">
      <c r="A208" s="3"/>
      <c r="B208" s="66"/>
      <c r="C208" s="66"/>
      <c r="D208" s="66"/>
      <c r="E208" s="66"/>
      <c r="H208" s="3"/>
      <c r="I208" s="68"/>
      <c r="J208" s="68"/>
      <c r="K208" s="68"/>
      <c r="L208" s="68"/>
    </row>
    <row r="209" spans="1:12">
      <c r="A209" s="3"/>
      <c r="B209" s="66"/>
      <c r="C209" s="66"/>
      <c r="D209" s="66"/>
      <c r="E209" s="66"/>
      <c r="H209" s="3"/>
      <c r="I209" s="68"/>
      <c r="J209" s="68"/>
      <c r="K209" s="68"/>
      <c r="L209" s="68"/>
    </row>
    <row r="210" spans="1:12">
      <c r="A210" s="3"/>
      <c r="B210" s="66"/>
      <c r="C210" s="66"/>
      <c r="D210" s="66"/>
      <c r="E210" s="66"/>
      <c r="H210" s="3"/>
      <c r="I210" s="68"/>
      <c r="J210" s="68"/>
      <c r="K210" s="68"/>
      <c r="L210" s="68"/>
    </row>
    <row r="211" spans="1:12">
      <c r="A211" s="3"/>
      <c r="B211" s="66"/>
      <c r="C211" s="66"/>
      <c r="D211" s="66"/>
      <c r="E211" s="66"/>
      <c r="H211" s="3"/>
      <c r="I211" s="68"/>
      <c r="J211" s="68"/>
      <c r="K211" s="68"/>
      <c r="L211" s="68"/>
    </row>
    <row r="212" spans="1:12">
      <c r="A212" s="3"/>
      <c r="B212" s="66"/>
      <c r="C212" s="66"/>
      <c r="D212" s="66"/>
      <c r="E212" s="66"/>
      <c r="H212" s="3"/>
      <c r="I212" s="68"/>
      <c r="J212" s="68"/>
      <c r="K212" s="68"/>
      <c r="L212" s="68"/>
    </row>
    <row r="213" spans="1:12">
      <c r="A213" s="3"/>
      <c r="B213" s="66"/>
      <c r="C213" s="66"/>
      <c r="D213" s="66"/>
      <c r="E213" s="66"/>
      <c r="H213" s="3"/>
      <c r="I213" s="68"/>
      <c r="J213" s="68"/>
      <c r="K213" s="68"/>
      <c r="L213" s="68"/>
    </row>
    <row r="214" spans="1:12">
      <c r="A214" s="3"/>
      <c r="B214" s="66"/>
      <c r="C214" s="66"/>
      <c r="D214" s="66"/>
      <c r="E214" s="66"/>
      <c r="H214" s="3"/>
      <c r="I214" s="68"/>
      <c r="J214" s="68"/>
      <c r="K214" s="68"/>
      <c r="L214" s="68"/>
    </row>
    <row r="215" spans="1:12">
      <c r="A215" s="3"/>
      <c r="B215" s="66"/>
      <c r="C215" s="66"/>
      <c r="D215" s="66"/>
      <c r="E215" s="66"/>
      <c r="H215" s="3"/>
      <c r="I215" s="68"/>
      <c r="J215" s="68"/>
      <c r="K215" s="68"/>
      <c r="L215" s="68"/>
    </row>
    <row r="216" spans="1:12">
      <c r="A216" s="3"/>
      <c r="B216" s="66"/>
      <c r="C216" s="66"/>
      <c r="D216" s="66"/>
      <c r="E216" s="66"/>
      <c r="H216" s="3"/>
      <c r="I216" s="68"/>
      <c r="J216" s="68"/>
      <c r="K216" s="68"/>
      <c r="L216" s="68"/>
    </row>
    <row r="217" spans="1:12">
      <c r="A217" s="3"/>
      <c r="B217" s="66"/>
      <c r="C217" s="66"/>
      <c r="D217" s="66"/>
      <c r="E217" s="66"/>
      <c r="H217" s="3"/>
      <c r="I217" s="68"/>
      <c r="J217" s="68"/>
      <c r="K217" s="68"/>
      <c r="L217" s="68"/>
    </row>
    <row r="218" spans="1:12">
      <c r="A218" s="3"/>
      <c r="B218" s="66"/>
      <c r="C218" s="66"/>
      <c r="D218" s="66"/>
      <c r="E218" s="66"/>
      <c r="H218" s="3"/>
      <c r="I218" s="68"/>
      <c r="J218" s="68"/>
      <c r="K218" s="68"/>
      <c r="L218" s="68"/>
    </row>
    <row r="219" spans="1:12">
      <c r="A219" s="3"/>
      <c r="B219" s="66"/>
      <c r="C219" s="66"/>
      <c r="D219" s="66"/>
      <c r="E219" s="66"/>
      <c r="H219" s="3"/>
      <c r="I219" s="68"/>
      <c r="J219" s="68"/>
      <c r="K219" s="68"/>
      <c r="L219" s="68"/>
    </row>
    <row r="220" spans="1:12">
      <c r="A220" s="3"/>
      <c r="B220" s="66"/>
      <c r="C220" s="66"/>
      <c r="D220" s="66"/>
      <c r="E220" s="66"/>
      <c r="H220" s="3"/>
      <c r="I220" s="68"/>
      <c r="J220" s="68"/>
      <c r="K220" s="68"/>
      <c r="L220" s="68"/>
    </row>
    <row r="221" spans="1:12">
      <c r="A221" s="3"/>
      <c r="B221" s="66"/>
      <c r="C221" s="66"/>
      <c r="D221" s="66"/>
      <c r="E221" s="66"/>
      <c r="H221" s="3"/>
      <c r="I221" s="68"/>
      <c r="J221" s="68"/>
      <c r="K221" s="68"/>
      <c r="L221" s="68"/>
    </row>
    <row r="222" spans="1:12">
      <c r="A222" s="3"/>
      <c r="B222" s="66"/>
      <c r="C222" s="66"/>
      <c r="D222" s="66"/>
      <c r="E222" s="66"/>
      <c r="H222" s="3"/>
      <c r="I222" s="68"/>
      <c r="J222" s="68"/>
      <c r="K222" s="68"/>
      <c r="L222" s="68"/>
    </row>
    <row r="223" spans="1:12">
      <c r="A223" s="3"/>
      <c r="B223" s="66"/>
      <c r="C223" s="66"/>
      <c r="D223" s="66"/>
      <c r="E223" s="66"/>
      <c r="H223" s="3"/>
      <c r="I223" s="68"/>
      <c r="J223" s="68"/>
      <c r="K223" s="68"/>
      <c r="L223" s="68"/>
    </row>
    <row r="224" spans="1:12">
      <c r="A224" s="3"/>
      <c r="B224" s="66"/>
      <c r="C224" s="66"/>
      <c r="D224" s="66"/>
      <c r="E224" s="66"/>
      <c r="H224" s="3"/>
      <c r="I224" s="68"/>
      <c r="J224" s="68"/>
      <c r="K224" s="68"/>
      <c r="L224" s="68"/>
    </row>
    <row r="225" spans="1:12">
      <c r="A225" s="3"/>
      <c r="B225" s="66"/>
      <c r="C225" s="66"/>
      <c r="D225" s="66"/>
      <c r="E225" s="66"/>
      <c r="H225" s="3"/>
      <c r="I225" s="68"/>
      <c r="J225" s="68"/>
      <c r="K225" s="68"/>
      <c r="L225" s="68"/>
    </row>
    <row r="226" spans="1:12">
      <c r="A226" s="3"/>
      <c r="B226" s="66"/>
      <c r="C226" s="66"/>
      <c r="D226" s="66"/>
      <c r="E226" s="66"/>
      <c r="H226" s="3"/>
      <c r="I226" s="68"/>
      <c r="J226" s="68"/>
      <c r="K226" s="68"/>
      <c r="L226" s="68"/>
    </row>
    <row r="227" spans="1:12">
      <c r="A227" s="3"/>
      <c r="B227" s="66"/>
      <c r="C227" s="66"/>
      <c r="D227" s="66"/>
      <c r="E227" s="66"/>
      <c r="H227" s="3"/>
      <c r="I227" s="68"/>
      <c r="J227" s="68"/>
      <c r="K227" s="68"/>
      <c r="L227" s="68"/>
    </row>
    <row r="228" spans="1:12">
      <c r="A228" s="3"/>
      <c r="B228" s="66"/>
      <c r="C228" s="66"/>
      <c r="D228" s="66"/>
      <c r="E228" s="66"/>
      <c r="H228" s="3"/>
      <c r="I228" s="68"/>
      <c r="J228" s="68"/>
      <c r="K228" s="68"/>
      <c r="L228" s="68"/>
    </row>
    <row r="229" spans="1:12">
      <c r="A229" s="3"/>
      <c r="B229" s="66"/>
      <c r="C229" s="66"/>
      <c r="D229" s="66"/>
      <c r="E229" s="66"/>
      <c r="H229" s="3"/>
      <c r="I229" s="68"/>
      <c r="J229" s="68"/>
      <c r="K229" s="68"/>
      <c r="L229" s="68"/>
    </row>
    <row r="230" spans="1:12">
      <c r="A230" s="3"/>
      <c r="B230" s="66"/>
      <c r="C230" s="66"/>
      <c r="D230" s="66"/>
      <c r="E230" s="66"/>
      <c r="H230" s="3"/>
      <c r="I230" s="68"/>
      <c r="J230" s="68"/>
      <c r="K230" s="68"/>
      <c r="L230" s="68"/>
    </row>
    <row r="231" spans="1:12">
      <c r="A231" s="3"/>
      <c r="B231" s="66"/>
      <c r="C231" s="66"/>
      <c r="D231" s="66"/>
      <c r="E231" s="66"/>
      <c r="H231" s="3"/>
      <c r="I231" s="68"/>
      <c r="J231" s="68"/>
      <c r="K231" s="68"/>
      <c r="L231" s="68"/>
    </row>
    <row r="232" spans="1:12">
      <c r="A232" s="3"/>
      <c r="B232" s="66"/>
      <c r="C232" s="66"/>
      <c r="D232" s="66"/>
      <c r="E232" s="66"/>
      <c r="H232" s="3"/>
      <c r="I232" s="68"/>
      <c r="J232" s="68"/>
      <c r="K232" s="68"/>
      <c r="L232" s="68"/>
    </row>
    <row r="233" spans="1:12">
      <c r="A233" s="3"/>
      <c r="B233" s="66"/>
      <c r="C233" s="66"/>
      <c r="D233" s="66"/>
      <c r="E233" s="66"/>
      <c r="H233" s="3"/>
      <c r="I233" s="68"/>
      <c r="J233" s="68"/>
      <c r="K233" s="68"/>
      <c r="L233" s="68"/>
    </row>
    <row r="234" spans="1:12">
      <c r="A234" s="3"/>
      <c r="B234" s="66"/>
      <c r="C234" s="66"/>
      <c r="D234" s="66"/>
      <c r="E234" s="66"/>
      <c r="H234" s="3"/>
      <c r="I234" s="68"/>
      <c r="J234" s="68"/>
      <c r="K234" s="68"/>
      <c r="L234" s="68"/>
    </row>
    <row r="235" spans="1:12">
      <c r="A235" s="3"/>
      <c r="B235" s="66"/>
      <c r="C235" s="66"/>
      <c r="D235" s="66"/>
      <c r="E235" s="66"/>
      <c r="H235" s="3"/>
      <c r="I235" s="68"/>
      <c r="J235" s="68"/>
      <c r="K235" s="68"/>
      <c r="L235" s="68"/>
    </row>
    <row r="236" spans="1:12">
      <c r="A236" s="3"/>
      <c r="B236" s="66"/>
      <c r="C236" s="66"/>
      <c r="D236" s="66"/>
      <c r="E236" s="66"/>
      <c r="H236" s="3"/>
      <c r="I236" s="68"/>
      <c r="J236" s="68"/>
      <c r="K236" s="68"/>
      <c r="L236" s="68"/>
    </row>
    <row r="237" spans="1:12">
      <c r="A237" s="3"/>
      <c r="B237" s="66"/>
      <c r="C237" s="66"/>
      <c r="D237" s="66"/>
      <c r="E237" s="66"/>
      <c r="H237" s="3"/>
      <c r="I237" s="68"/>
      <c r="J237" s="68"/>
      <c r="K237" s="68"/>
      <c r="L237" s="68"/>
    </row>
    <row r="238" spans="1:12">
      <c r="A238" s="3"/>
      <c r="B238" s="66"/>
      <c r="C238" s="66"/>
      <c r="D238" s="66"/>
      <c r="E238" s="66"/>
      <c r="H238" s="3"/>
      <c r="I238" s="68"/>
      <c r="J238" s="68"/>
      <c r="K238" s="68"/>
      <c r="L238" s="68"/>
    </row>
    <row r="239" spans="1:12">
      <c r="A239" s="3"/>
      <c r="B239" s="66"/>
      <c r="C239" s="66"/>
      <c r="D239" s="66"/>
      <c r="E239" s="66"/>
      <c r="H239" s="3"/>
      <c r="I239" s="68"/>
      <c r="J239" s="68"/>
      <c r="K239" s="68"/>
      <c r="L239" s="68"/>
    </row>
    <row r="240" spans="1:12">
      <c r="A240" s="3"/>
      <c r="B240" s="66"/>
      <c r="C240" s="66"/>
      <c r="D240" s="66"/>
      <c r="E240" s="66"/>
      <c r="H240" s="3"/>
      <c r="I240" s="68"/>
      <c r="J240" s="68"/>
      <c r="K240" s="68"/>
      <c r="L240" s="68"/>
    </row>
    <row r="241" spans="1:12">
      <c r="A241" s="3"/>
      <c r="B241" s="66"/>
      <c r="C241" s="66"/>
      <c r="D241" s="66"/>
      <c r="E241" s="66"/>
      <c r="H241" s="3"/>
      <c r="I241" s="68"/>
      <c r="J241" s="68"/>
      <c r="K241" s="68"/>
      <c r="L241" s="68"/>
    </row>
    <row r="242" spans="1:12">
      <c r="A242" s="3"/>
      <c r="B242" s="66"/>
      <c r="C242" s="66"/>
      <c r="D242" s="66"/>
      <c r="E242" s="66"/>
      <c r="H242" s="3"/>
      <c r="I242" s="68"/>
      <c r="J242" s="68"/>
      <c r="K242" s="68"/>
      <c r="L242" s="68"/>
    </row>
    <row r="243" spans="1:12">
      <c r="A243" s="3"/>
      <c r="B243" s="66"/>
      <c r="C243" s="66"/>
      <c r="D243" s="66"/>
      <c r="E243" s="66"/>
      <c r="H243" s="3"/>
      <c r="I243" s="68"/>
      <c r="J243" s="68"/>
      <c r="K243" s="68"/>
      <c r="L243" s="68"/>
    </row>
    <row r="244" spans="1:12">
      <c r="A244" s="3"/>
      <c r="B244" s="66"/>
      <c r="C244" s="66"/>
      <c r="D244" s="66"/>
      <c r="E244" s="66"/>
      <c r="H244" s="3"/>
      <c r="I244" s="68"/>
      <c r="J244" s="68"/>
      <c r="K244" s="68"/>
      <c r="L244" s="68"/>
    </row>
    <row r="245" spans="1:12">
      <c r="A245" s="3"/>
      <c r="B245" s="66"/>
      <c r="C245" s="66"/>
      <c r="D245" s="66"/>
      <c r="E245" s="66"/>
      <c r="H245" s="3"/>
      <c r="I245" s="68"/>
      <c r="J245" s="68"/>
      <c r="K245" s="68"/>
      <c r="L245" s="68"/>
    </row>
    <row r="246" spans="1:12">
      <c r="A246" s="3"/>
      <c r="B246" s="66"/>
      <c r="C246" s="66"/>
      <c r="D246" s="66"/>
      <c r="E246" s="66"/>
      <c r="H246" s="3"/>
      <c r="I246" s="68"/>
      <c r="J246" s="68"/>
      <c r="K246" s="68"/>
      <c r="L246" s="68"/>
    </row>
    <row r="247" spans="1:12">
      <c r="A247" s="3"/>
      <c r="B247" s="66"/>
      <c r="C247" s="66"/>
      <c r="D247" s="66"/>
      <c r="E247" s="66"/>
      <c r="H247" s="3"/>
      <c r="I247" s="68"/>
      <c r="J247" s="68"/>
      <c r="K247" s="68"/>
      <c r="L247" s="68"/>
    </row>
    <row r="248" spans="1:12">
      <c r="A248" s="3"/>
      <c r="B248" s="66"/>
      <c r="C248" s="66"/>
      <c r="D248" s="66"/>
      <c r="E248" s="66"/>
      <c r="H248" s="3"/>
      <c r="I248" s="68"/>
      <c r="J248" s="68"/>
      <c r="K248" s="68"/>
      <c r="L248" s="68"/>
    </row>
    <row r="249" spans="1:12">
      <c r="A249" s="3"/>
      <c r="B249" s="66"/>
      <c r="C249" s="66"/>
      <c r="D249" s="66"/>
      <c r="E249" s="66"/>
      <c r="H249" s="3"/>
      <c r="I249" s="68"/>
      <c r="J249" s="68"/>
      <c r="K249" s="68"/>
      <c r="L249" s="68"/>
    </row>
    <row r="250" spans="1:12">
      <c r="A250" s="3"/>
      <c r="B250" s="66"/>
      <c r="C250" s="66"/>
      <c r="D250" s="66"/>
      <c r="E250" s="66"/>
      <c r="H250" s="3"/>
      <c r="I250" s="68"/>
      <c r="J250" s="68"/>
      <c r="K250" s="68"/>
      <c r="L250" s="68"/>
    </row>
    <row r="251" spans="1:12">
      <c r="A251" s="3"/>
      <c r="B251" s="66"/>
      <c r="C251" s="66"/>
      <c r="D251" s="66"/>
      <c r="E251" s="66"/>
      <c r="H251" s="3"/>
      <c r="I251" s="68"/>
      <c r="J251" s="68"/>
      <c r="K251" s="68"/>
      <c r="L251" s="68"/>
    </row>
    <row r="252" spans="1:12">
      <c r="A252" s="3"/>
      <c r="B252" s="66"/>
      <c r="C252" s="66"/>
      <c r="D252" s="66"/>
      <c r="E252" s="66"/>
      <c r="H252" s="3"/>
      <c r="I252" s="68"/>
      <c r="J252" s="68"/>
      <c r="K252" s="68"/>
      <c r="L252" s="68"/>
    </row>
    <row r="253" spans="1:12">
      <c r="A253" s="3"/>
      <c r="B253" s="66"/>
      <c r="C253" s="66"/>
      <c r="D253" s="66"/>
      <c r="E253" s="66"/>
      <c r="H253" s="3"/>
      <c r="I253" s="68"/>
      <c r="J253" s="68"/>
      <c r="K253" s="68"/>
      <c r="L253" s="68"/>
    </row>
    <row r="254" spans="1:12">
      <c r="A254" s="3"/>
      <c r="B254" s="66"/>
      <c r="C254" s="66"/>
      <c r="D254" s="66"/>
      <c r="E254" s="66"/>
      <c r="H254" s="3"/>
      <c r="I254" s="68"/>
      <c r="J254" s="68"/>
      <c r="K254" s="68"/>
      <c r="L254" s="68"/>
    </row>
    <row r="255" spans="1:12">
      <c r="A255" s="3"/>
      <c r="B255" s="66"/>
      <c r="C255" s="66"/>
      <c r="D255" s="66"/>
      <c r="E255" s="66"/>
      <c r="H255" s="3"/>
      <c r="I255" s="68"/>
      <c r="J255" s="68"/>
      <c r="K255" s="68"/>
      <c r="L255" s="68"/>
    </row>
    <row r="256" spans="1:12">
      <c r="A256" s="3"/>
      <c r="B256" s="66"/>
      <c r="C256" s="66"/>
      <c r="D256" s="66"/>
      <c r="E256" s="66"/>
      <c r="H256" s="3"/>
      <c r="I256" s="68"/>
      <c r="J256" s="68"/>
      <c r="K256" s="68"/>
      <c r="L256" s="68"/>
    </row>
    <row r="257" spans="1:12">
      <c r="A257" s="3"/>
      <c r="B257" s="66"/>
      <c r="C257" s="66"/>
      <c r="D257" s="66"/>
      <c r="E257" s="66"/>
      <c r="H257" s="3"/>
      <c r="I257" s="68"/>
      <c r="J257" s="68"/>
      <c r="K257" s="68"/>
      <c r="L257" s="68"/>
    </row>
    <row r="258" spans="1:12">
      <c r="A258" s="3"/>
      <c r="B258" s="66"/>
      <c r="C258" s="66"/>
      <c r="D258" s="66"/>
      <c r="E258" s="66"/>
      <c r="H258" s="3"/>
      <c r="I258" s="68"/>
      <c r="J258" s="68"/>
      <c r="K258" s="68"/>
      <c r="L258" s="68"/>
    </row>
    <row r="259" spans="1:12">
      <c r="A259" s="3"/>
      <c r="B259" s="66"/>
      <c r="C259" s="66"/>
      <c r="D259" s="66"/>
      <c r="E259" s="66"/>
      <c r="H259" s="3"/>
      <c r="I259" s="68"/>
      <c r="J259" s="68"/>
      <c r="K259" s="68"/>
      <c r="L259" s="68"/>
    </row>
    <row r="260" spans="1:12">
      <c r="A260" s="3"/>
      <c r="B260" s="66"/>
      <c r="C260" s="66"/>
      <c r="D260" s="66"/>
      <c r="E260" s="66"/>
      <c r="H260" s="3"/>
      <c r="I260" s="68"/>
      <c r="J260" s="68"/>
      <c r="K260" s="68"/>
      <c r="L260" s="68"/>
    </row>
    <row r="261" spans="1:12">
      <c r="A261" s="3"/>
      <c r="B261" s="66"/>
      <c r="C261" s="66"/>
      <c r="D261" s="66"/>
      <c r="E261" s="66"/>
      <c r="H261" s="3"/>
      <c r="I261" s="68"/>
      <c r="J261" s="68"/>
      <c r="K261" s="68"/>
      <c r="L261" s="68"/>
    </row>
    <row r="262" spans="1:12">
      <c r="A262" s="3"/>
      <c r="B262" s="66"/>
      <c r="C262" s="66"/>
      <c r="D262" s="66"/>
      <c r="E262" s="66"/>
      <c r="H262" s="3"/>
      <c r="I262" s="68"/>
      <c r="J262" s="68"/>
      <c r="K262" s="68"/>
      <c r="L262" s="68"/>
    </row>
    <row r="263" spans="1:12">
      <c r="A263" s="3"/>
      <c r="B263" s="66"/>
      <c r="C263" s="66"/>
      <c r="D263" s="66"/>
      <c r="E263" s="66"/>
      <c r="H263" s="3"/>
      <c r="I263" s="68"/>
      <c r="J263" s="68"/>
      <c r="K263" s="68"/>
      <c r="L263" s="68"/>
    </row>
    <row r="264" spans="1:12">
      <c r="A264" s="3"/>
      <c r="B264" s="66"/>
      <c r="C264" s="66"/>
      <c r="D264" s="66"/>
      <c r="E264" s="66"/>
      <c r="H264" s="3"/>
      <c r="I264" s="68"/>
      <c r="J264" s="68"/>
      <c r="K264" s="68"/>
      <c r="L264" s="68"/>
    </row>
    <row r="265" spans="1:12">
      <c r="A265" s="3"/>
      <c r="B265" s="66"/>
      <c r="C265" s="66"/>
      <c r="D265" s="66"/>
      <c r="E265" s="66"/>
      <c r="H265" s="3"/>
      <c r="I265" s="68"/>
      <c r="J265" s="68"/>
      <c r="K265" s="68"/>
      <c r="L265" s="68"/>
    </row>
    <row r="266" spans="1:12">
      <c r="A266" s="3"/>
      <c r="B266" s="66"/>
      <c r="C266" s="66"/>
      <c r="D266" s="66"/>
      <c r="E266" s="66"/>
      <c r="H266" s="3"/>
      <c r="I266" s="68"/>
      <c r="J266" s="68"/>
      <c r="K266" s="68"/>
      <c r="L266" s="68"/>
    </row>
    <row r="267" spans="1:12">
      <c r="A267" s="3"/>
      <c r="B267" s="66"/>
      <c r="C267" s="66"/>
      <c r="D267" s="66"/>
      <c r="E267" s="66"/>
      <c r="H267" s="3"/>
      <c r="I267" s="68"/>
      <c r="J267" s="68"/>
      <c r="K267" s="68"/>
      <c r="L267" s="68"/>
    </row>
    <row r="268" spans="1:12">
      <c r="A268" s="3"/>
      <c r="B268" s="66"/>
      <c r="C268" s="66"/>
      <c r="D268" s="66"/>
      <c r="E268" s="66"/>
      <c r="H268" s="3"/>
      <c r="I268" s="68"/>
      <c r="J268" s="68"/>
      <c r="K268" s="68"/>
      <c r="L268" s="68"/>
    </row>
    <row r="269" spans="1:12">
      <c r="A269" s="3"/>
      <c r="B269" s="66"/>
      <c r="C269" s="66"/>
      <c r="D269" s="66"/>
      <c r="E269" s="66"/>
      <c r="H269" s="3"/>
      <c r="I269" s="68"/>
      <c r="J269" s="68"/>
      <c r="K269" s="68"/>
      <c r="L269" s="68"/>
    </row>
    <row r="270" spans="1:12">
      <c r="A270" s="3"/>
      <c r="B270" s="66"/>
      <c r="C270" s="66"/>
      <c r="D270" s="66"/>
      <c r="E270" s="66"/>
      <c r="H270" s="3"/>
      <c r="I270" s="68"/>
      <c r="J270" s="68"/>
      <c r="K270" s="68"/>
      <c r="L270" s="68"/>
    </row>
    <row r="271" spans="1:12">
      <c r="A271" s="3"/>
      <c r="B271" s="66"/>
      <c r="C271" s="66"/>
      <c r="D271" s="66"/>
      <c r="E271" s="66"/>
      <c r="H271" s="3"/>
      <c r="I271" s="68"/>
      <c r="J271" s="68"/>
      <c r="K271" s="68"/>
      <c r="L271" s="68"/>
    </row>
    <row r="272" spans="1:12">
      <c r="A272" s="3"/>
      <c r="B272" s="66"/>
      <c r="C272" s="66"/>
      <c r="D272" s="66"/>
      <c r="E272" s="66"/>
      <c r="H272" s="3"/>
      <c r="I272" s="68"/>
      <c r="J272" s="68"/>
      <c r="K272" s="68"/>
      <c r="L272" s="68"/>
    </row>
    <row r="273" spans="1:12">
      <c r="A273" s="3"/>
      <c r="B273" s="66"/>
      <c r="C273" s="66"/>
      <c r="D273" s="66"/>
      <c r="E273" s="66"/>
      <c r="H273" s="3"/>
      <c r="I273" s="68"/>
      <c r="J273" s="68"/>
      <c r="K273" s="68"/>
      <c r="L273" s="68"/>
    </row>
    <row r="274" spans="1:12">
      <c r="A274" s="3"/>
      <c r="B274" s="66"/>
      <c r="C274" s="66"/>
      <c r="D274" s="66"/>
      <c r="E274" s="66"/>
      <c r="H274" s="3"/>
      <c r="I274" s="68"/>
      <c r="J274" s="68"/>
      <c r="K274" s="68"/>
      <c r="L274" s="68"/>
    </row>
    <row r="275" spans="1:12">
      <c r="A275" s="3"/>
      <c r="B275" s="66"/>
      <c r="C275" s="66"/>
      <c r="D275" s="66"/>
      <c r="E275" s="66"/>
      <c r="H275" s="3"/>
      <c r="I275" s="68"/>
      <c r="J275" s="68"/>
      <c r="K275" s="68"/>
      <c r="L275" s="68"/>
    </row>
    <row r="276" spans="1:12">
      <c r="A276" s="3"/>
      <c r="B276" s="66"/>
      <c r="C276" s="66"/>
      <c r="D276" s="66"/>
      <c r="E276" s="66"/>
      <c r="H276" s="3"/>
      <c r="I276" s="68"/>
      <c r="J276" s="68"/>
      <c r="K276" s="68"/>
      <c r="L276" s="68"/>
    </row>
    <row r="277" spans="1:12">
      <c r="A277" s="3"/>
      <c r="B277" s="66"/>
      <c r="C277" s="66"/>
      <c r="D277" s="66"/>
      <c r="E277" s="66"/>
      <c r="H277" s="3"/>
      <c r="I277" s="68"/>
      <c r="J277" s="68"/>
      <c r="K277" s="68"/>
      <c r="L277" s="68"/>
    </row>
    <row r="278" spans="1:12">
      <c r="A278" s="3"/>
      <c r="B278" s="66"/>
      <c r="C278" s="66"/>
      <c r="D278" s="66"/>
      <c r="E278" s="66"/>
      <c r="H278" s="3"/>
      <c r="I278" s="68"/>
      <c r="J278" s="68"/>
      <c r="K278" s="68"/>
      <c r="L278" s="68"/>
    </row>
    <row r="279" spans="1:12">
      <c r="A279" s="3"/>
      <c r="B279" s="66"/>
      <c r="C279" s="66"/>
      <c r="D279" s="66"/>
      <c r="E279" s="66"/>
      <c r="H279" s="3"/>
      <c r="I279" s="68"/>
      <c r="J279" s="68"/>
      <c r="K279" s="68"/>
      <c r="L279" s="68"/>
    </row>
    <row r="280" spans="1:12">
      <c r="A280" s="3"/>
      <c r="B280" s="66"/>
      <c r="C280" s="66"/>
      <c r="D280" s="66"/>
      <c r="E280" s="66"/>
      <c r="H280" s="3"/>
      <c r="I280" s="68"/>
      <c r="J280" s="68"/>
      <c r="K280" s="68"/>
      <c r="L280" s="68"/>
    </row>
    <row r="281" spans="1:12">
      <c r="A281" s="3"/>
      <c r="B281" s="66"/>
      <c r="C281" s="66"/>
      <c r="D281" s="66"/>
      <c r="E281" s="66"/>
      <c r="H281" s="3"/>
      <c r="I281" s="68"/>
      <c r="J281" s="68"/>
      <c r="K281" s="68"/>
      <c r="L281" s="68"/>
    </row>
    <row r="282" spans="1:12">
      <c r="A282" s="3"/>
      <c r="B282" s="66"/>
      <c r="C282" s="66"/>
      <c r="D282" s="66"/>
      <c r="E282" s="66"/>
      <c r="H282" s="3"/>
      <c r="I282" s="68"/>
      <c r="J282" s="68"/>
      <c r="K282" s="68"/>
      <c r="L282" s="68"/>
    </row>
    <row r="283" spans="1:12">
      <c r="A283" s="3"/>
      <c r="B283" s="66"/>
      <c r="C283" s="66"/>
      <c r="D283" s="66"/>
      <c r="E283" s="66"/>
      <c r="H283" s="3"/>
      <c r="I283" s="68"/>
      <c r="J283" s="68"/>
      <c r="K283" s="68"/>
      <c r="L283" s="68"/>
    </row>
    <row r="284" spans="1:12">
      <c r="A284" s="3"/>
      <c r="B284" s="66"/>
      <c r="C284" s="66"/>
      <c r="D284" s="66"/>
      <c r="E284" s="66"/>
      <c r="H284" s="3"/>
      <c r="I284" s="68"/>
      <c r="J284" s="68"/>
      <c r="K284" s="68"/>
      <c r="L284" s="68"/>
    </row>
    <row r="285" spans="1:12">
      <c r="A285" s="3"/>
      <c r="B285" s="66"/>
      <c r="C285" s="66"/>
      <c r="D285" s="66"/>
      <c r="E285" s="66"/>
      <c r="H285" s="3"/>
      <c r="I285" s="68"/>
      <c r="J285" s="68"/>
      <c r="K285" s="68"/>
      <c r="L285" s="68"/>
    </row>
    <row r="286" spans="1:12">
      <c r="A286" s="3"/>
      <c r="B286" s="66"/>
      <c r="C286" s="66"/>
      <c r="D286" s="66"/>
      <c r="E286" s="66"/>
      <c r="H286" s="3"/>
      <c r="I286" s="68"/>
      <c r="J286" s="68"/>
      <c r="K286" s="68"/>
      <c r="L286" s="68"/>
    </row>
    <row r="287" spans="1:12">
      <c r="A287" s="3"/>
      <c r="B287" s="66"/>
      <c r="C287" s="66"/>
      <c r="D287" s="66"/>
      <c r="E287" s="66"/>
      <c r="H287" s="3"/>
      <c r="I287" s="68"/>
      <c r="J287" s="68"/>
      <c r="K287" s="68"/>
      <c r="L287" s="68"/>
    </row>
    <row r="288" spans="1:12">
      <c r="A288" s="3"/>
      <c r="B288" s="66"/>
      <c r="C288" s="66"/>
      <c r="D288" s="66"/>
      <c r="E288" s="66"/>
      <c r="H288" s="3"/>
      <c r="I288" s="68"/>
      <c r="J288" s="68"/>
      <c r="K288" s="68"/>
      <c r="L288" s="68"/>
    </row>
    <row r="289" spans="1:12">
      <c r="A289" s="3"/>
      <c r="B289" s="66"/>
      <c r="C289" s="66"/>
      <c r="D289" s="66"/>
      <c r="E289" s="66"/>
      <c r="H289" s="3"/>
      <c r="I289" s="68"/>
      <c r="J289" s="68"/>
      <c r="K289" s="68"/>
      <c r="L289" s="68"/>
    </row>
    <row r="290" spans="1:12">
      <c r="A290" s="3"/>
      <c r="B290" s="66"/>
      <c r="C290" s="66"/>
      <c r="D290" s="66"/>
      <c r="E290" s="66"/>
      <c r="H290" s="3"/>
      <c r="I290" s="68"/>
      <c r="J290" s="68"/>
      <c r="K290" s="68"/>
      <c r="L290" s="68"/>
    </row>
    <row r="291" spans="1:12">
      <c r="A291" s="3"/>
      <c r="B291" s="66"/>
      <c r="C291" s="66"/>
      <c r="D291" s="66"/>
      <c r="E291" s="66"/>
      <c r="H291" s="3"/>
      <c r="I291" s="68"/>
      <c r="J291" s="68"/>
      <c r="K291" s="68"/>
      <c r="L291" s="68"/>
    </row>
    <row r="292" spans="1:12">
      <c r="A292" s="3"/>
      <c r="B292" s="66"/>
      <c r="C292" s="66"/>
      <c r="D292" s="66"/>
      <c r="E292" s="66"/>
      <c r="H292" s="3"/>
      <c r="I292" s="68"/>
      <c r="J292" s="68"/>
      <c r="K292" s="68"/>
      <c r="L292" s="68"/>
    </row>
    <row r="293" spans="1:12">
      <c r="A293" s="3"/>
      <c r="B293" s="66"/>
      <c r="C293" s="66"/>
      <c r="D293" s="66"/>
      <c r="E293" s="66"/>
      <c r="H293" s="3"/>
      <c r="I293" s="68"/>
      <c r="J293" s="68"/>
      <c r="K293" s="68"/>
      <c r="L293" s="68"/>
    </row>
    <row r="294" spans="1:12">
      <c r="A294" s="3"/>
      <c r="B294" s="66"/>
      <c r="C294" s="66"/>
      <c r="D294" s="66"/>
      <c r="E294" s="66"/>
      <c r="H294" s="3"/>
      <c r="I294" s="68"/>
      <c r="J294" s="68"/>
      <c r="K294" s="68"/>
      <c r="L294" s="68"/>
    </row>
    <row r="295" spans="1:12">
      <c r="A295" s="3"/>
      <c r="B295" s="66"/>
      <c r="C295" s="66"/>
      <c r="D295" s="66"/>
      <c r="E295" s="66"/>
      <c r="H295" s="3"/>
      <c r="I295" s="68"/>
      <c r="J295" s="68"/>
      <c r="K295" s="68"/>
      <c r="L295" s="68"/>
    </row>
    <row r="296" spans="1:12">
      <c r="A296" s="3"/>
      <c r="B296" s="66"/>
      <c r="C296" s="66"/>
      <c r="D296" s="66"/>
      <c r="E296" s="66"/>
      <c r="H296" s="3"/>
      <c r="I296" s="68"/>
      <c r="J296" s="68"/>
      <c r="K296" s="68"/>
      <c r="L296" s="68"/>
    </row>
    <row r="297" spans="1:12">
      <c r="A297" s="3"/>
      <c r="B297" s="66"/>
      <c r="C297" s="66"/>
      <c r="D297" s="66"/>
      <c r="E297" s="66"/>
      <c r="H297" s="3"/>
      <c r="I297" s="68"/>
      <c r="J297" s="68"/>
      <c r="K297" s="68"/>
      <c r="L297" s="68"/>
    </row>
    <row r="298" spans="1:12">
      <c r="A298" s="3"/>
      <c r="B298" s="66"/>
      <c r="C298" s="66"/>
      <c r="D298" s="66"/>
      <c r="E298" s="66"/>
      <c r="H298" s="3"/>
      <c r="I298" s="68"/>
      <c r="J298" s="68"/>
      <c r="K298" s="68"/>
      <c r="L298" s="68"/>
    </row>
    <row r="299" spans="1:12">
      <c r="A299" s="3"/>
      <c r="B299" s="66"/>
      <c r="C299" s="66"/>
      <c r="D299" s="66"/>
      <c r="E299" s="66"/>
      <c r="H299" s="3"/>
      <c r="I299" s="68"/>
      <c r="J299" s="68"/>
      <c r="K299" s="68"/>
      <c r="L299" s="68"/>
    </row>
    <row r="300" spans="1:12">
      <c r="A300" s="3"/>
      <c r="B300" s="66"/>
      <c r="C300" s="66"/>
      <c r="D300" s="66"/>
      <c r="E300" s="66"/>
      <c r="H300" s="3"/>
      <c r="I300" s="68"/>
      <c r="J300" s="68"/>
      <c r="K300" s="68"/>
      <c r="L300" s="68"/>
    </row>
    <row r="301" spans="1:12">
      <c r="A301" s="3"/>
      <c r="B301" s="66"/>
      <c r="C301" s="66"/>
      <c r="D301" s="66"/>
      <c r="E301" s="66"/>
      <c r="H301" s="3"/>
      <c r="I301" s="68"/>
      <c r="J301" s="68"/>
      <c r="K301" s="68"/>
      <c r="L301" s="68"/>
    </row>
    <row r="302" spans="1:12">
      <c r="A302" s="3"/>
      <c r="B302" s="66"/>
      <c r="C302" s="66"/>
      <c r="D302" s="66"/>
      <c r="E302" s="66"/>
      <c r="H302" s="3"/>
      <c r="I302" s="68"/>
      <c r="J302" s="68"/>
      <c r="K302" s="68"/>
      <c r="L302" s="68"/>
    </row>
    <row r="303" spans="1:12">
      <c r="A303" s="3"/>
      <c r="B303" s="66"/>
      <c r="C303" s="66"/>
      <c r="D303" s="66"/>
      <c r="E303" s="66"/>
      <c r="H303" s="3"/>
      <c r="I303" s="68"/>
      <c r="J303" s="68"/>
      <c r="K303" s="68"/>
      <c r="L303" s="68"/>
    </row>
    <row r="304" spans="1:12">
      <c r="A304" s="3"/>
      <c r="B304" s="66"/>
      <c r="C304" s="66"/>
      <c r="D304" s="66"/>
      <c r="E304" s="66"/>
      <c r="H304" s="3"/>
      <c r="I304" s="68"/>
      <c r="J304" s="68"/>
      <c r="K304" s="68"/>
      <c r="L304" s="68"/>
    </row>
    <row r="305" spans="1:12">
      <c r="A305" s="3"/>
      <c r="B305" s="66"/>
      <c r="C305" s="66"/>
      <c r="D305" s="66"/>
      <c r="E305" s="66"/>
      <c r="H305" s="3"/>
      <c r="I305" s="68"/>
      <c r="J305" s="68"/>
      <c r="K305" s="68"/>
      <c r="L305" s="68"/>
    </row>
    <row r="306" spans="1:12">
      <c r="A306" s="3"/>
      <c r="B306" s="66"/>
      <c r="C306" s="66"/>
      <c r="D306" s="66"/>
      <c r="E306" s="66"/>
      <c r="H306" s="3"/>
      <c r="I306" s="68"/>
      <c r="J306" s="68"/>
      <c r="K306" s="68"/>
      <c r="L306" s="68"/>
    </row>
    <row r="307" spans="1:12">
      <c r="A307" s="3"/>
      <c r="B307" s="66"/>
      <c r="C307" s="66"/>
      <c r="D307" s="66"/>
      <c r="E307" s="66"/>
      <c r="H307" s="3"/>
      <c r="I307" s="68"/>
      <c r="J307" s="68"/>
      <c r="K307" s="68"/>
      <c r="L307" s="68"/>
    </row>
    <row r="308" spans="1:12">
      <c r="A308" s="3"/>
      <c r="B308" s="66"/>
      <c r="C308" s="66"/>
      <c r="D308" s="66"/>
      <c r="E308" s="66"/>
      <c r="H308" s="3"/>
      <c r="I308" s="68"/>
      <c r="J308" s="68"/>
      <c r="K308" s="68"/>
      <c r="L308" s="68"/>
    </row>
    <row r="309" spans="1:12">
      <c r="A309" s="3"/>
      <c r="B309" s="66"/>
      <c r="C309" s="66"/>
      <c r="D309" s="66"/>
      <c r="E309" s="66"/>
      <c r="H309" s="3"/>
      <c r="I309" s="68"/>
      <c r="J309" s="68"/>
      <c r="K309" s="68"/>
      <c r="L309" s="68"/>
    </row>
    <row r="310" spans="1:12">
      <c r="A310" s="3"/>
      <c r="B310" s="66"/>
      <c r="C310" s="66"/>
      <c r="D310" s="66"/>
      <c r="E310" s="66"/>
      <c r="H310" s="3"/>
      <c r="I310" s="68"/>
      <c r="J310" s="68"/>
      <c r="K310" s="68"/>
      <c r="L310" s="68"/>
    </row>
    <row r="311" spans="1:12">
      <c r="A311" s="3"/>
      <c r="B311" s="66"/>
      <c r="C311" s="66"/>
      <c r="D311" s="66"/>
      <c r="E311" s="66"/>
      <c r="H311" s="3"/>
      <c r="I311" s="68"/>
      <c r="J311" s="68"/>
      <c r="K311" s="68"/>
      <c r="L311" s="68"/>
    </row>
    <row r="312" spans="1:12">
      <c r="A312" s="3"/>
      <c r="B312" s="66"/>
      <c r="C312" s="66"/>
      <c r="D312" s="66"/>
      <c r="E312" s="66"/>
      <c r="H312" s="3"/>
      <c r="I312" s="68"/>
      <c r="J312" s="68"/>
      <c r="K312" s="68"/>
      <c r="L312" s="68"/>
    </row>
    <row r="313" spans="1:12">
      <c r="A313" s="3"/>
      <c r="B313" s="66"/>
      <c r="C313" s="66"/>
      <c r="D313" s="66"/>
      <c r="E313" s="66"/>
      <c r="H313" s="3"/>
      <c r="I313" s="68"/>
      <c r="J313" s="68"/>
      <c r="K313" s="68"/>
      <c r="L313" s="68"/>
    </row>
    <row r="314" spans="1:12">
      <c r="A314" s="3"/>
      <c r="B314" s="66"/>
      <c r="C314" s="66"/>
      <c r="D314" s="66"/>
      <c r="E314" s="66"/>
      <c r="H314" s="3"/>
      <c r="I314" s="68"/>
      <c r="J314" s="68"/>
      <c r="K314" s="68"/>
      <c r="L314" s="68"/>
    </row>
    <row r="315" spans="1:12">
      <c r="A315" s="3"/>
      <c r="B315" s="66"/>
      <c r="C315" s="66"/>
      <c r="D315" s="66"/>
      <c r="E315" s="66"/>
      <c r="H315" s="3"/>
      <c r="I315" s="68"/>
      <c r="J315" s="68"/>
      <c r="K315" s="68"/>
      <c r="L315" s="68"/>
    </row>
    <row r="316" spans="1:12">
      <c r="A316" s="3"/>
      <c r="B316" s="66"/>
      <c r="C316" s="66"/>
      <c r="D316" s="66"/>
      <c r="E316" s="66"/>
      <c r="H316" s="3"/>
      <c r="I316" s="68"/>
      <c r="J316" s="68"/>
      <c r="K316" s="68"/>
      <c r="L316" s="68"/>
    </row>
    <row r="317" spans="1:12">
      <c r="A317" s="3"/>
      <c r="B317" s="66"/>
      <c r="C317" s="66"/>
      <c r="D317" s="66"/>
      <c r="E317" s="66"/>
      <c r="H317" s="3"/>
      <c r="I317" s="68"/>
      <c r="J317" s="68"/>
      <c r="K317" s="68"/>
      <c r="L317" s="68"/>
    </row>
    <row r="318" spans="1:12">
      <c r="A318" s="3"/>
      <c r="B318" s="66"/>
      <c r="C318" s="66"/>
      <c r="D318" s="66"/>
      <c r="E318" s="66"/>
      <c r="H318" s="3"/>
      <c r="I318" s="68"/>
      <c r="J318" s="68"/>
      <c r="K318" s="68"/>
      <c r="L318" s="68"/>
    </row>
    <row r="319" spans="1:12">
      <c r="A319" s="3"/>
      <c r="B319" s="66"/>
      <c r="C319" s="66"/>
      <c r="D319" s="66"/>
      <c r="E319" s="66"/>
      <c r="H319" s="3"/>
      <c r="I319" s="68"/>
      <c r="J319" s="68"/>
      <c r="K319" s="68"/>
      <c r="L319" s="68"/>
    </row>
    <row r="320" spans="1:12">
      <c r="A320" s="3"/>
      <c r="B320" s="66"/>
      <c r="C320" s="66"/>
      <c r="D320" s="66"/>
      <c r="E320" s="66"/>
      <c r="H320" s="3"/>
      <c r="I320" s="68"/>
      <c r="J320" s="68"/>
      <c r="K320" s="68"/>
      <c r="L320" s="68"/>
    </row>
    <row r="321" spans="1:12">
      <c r="A321" s="3"/>
      <c r="B321" s="66"/>
      <c r="C321" s="66"/>
      <c r="D321" s="66"/>
      <c r="E321" s="66"/>
      <c r="H321" s="3"/>
      <c r="I321" s="68"/>
      <c r="J321" s="68"/>
      <c r="K321" s="68"/>
      <c r="L321" s="68"/>
    </row>
    <row r="322" spans="1:12">
      <c r="A322" s="3"/>
      <c r="B322" s="66"/>
      <c r="C322" s="66"/>
      <c r="D322" s="66"/>
      <c r="E322" s="66"/>
      <c r="H322" s="3"/>
      <c r="I322" s="68"/>
      <c r="J322" s="68"/>
      <c r="K322" s="68"/>
      <c r="L322" s="68"/>
    </row>
    <row r="323" spans="1:12">
      <c r="A323" s="3"/>
      <c r="B323" s="66"/>
      <c r="C323" s="66"/>
      <c r="D323" s="66"/>
      <c r="E323" s="66"/>
      <c r="H323" s="3"/>
      <c r="I323" s="68"/>
      <c r="J323" s="68"/>
      <c r="K323" s="68"/>
      <c r="L323" s="68"/>
    </row>
    <row r="324" spans="1:12">
      <c r="A324" s="3"/>
      <c r="B324" s="66"/>
      <c r="C324" s="66"/>
      <c r="D324" s="66"/>
      <c r="E324" s="66"/>
      <c r="H324" s="3"/>
      <c r="I324" s="68"/>
      <c r="J324" s="68"/>
      <c r="K324" s="68"/>
      <c r="L324" s="68"/>
    </row>
    <row r="325" spans="1:12">
      <c r="A325" s="3"/>
      <c r="B325" s="66"/>
      <c r="C325" s="66"/>
      <c r="D325" s="66"/>
      <c r="E325" s="66"/>
      <c r="H325" s="3"/>
      <c r="I325" s="68"/>
      <c r="J325" s="68"/>
      <c r="K325" s="68"/>
      <c r="L325" s="68"/>
    </row>
    <row r="326" spans="1:12">
      <c r="A326" s="3"/>
      <c r="B326" s="66"/>
      <c r="C326" s="66"/>
      <c r="D326" s="66"/>
      <c r="E326" s="66"/>
      <c r="H326" s="3"/>
      <c r="I326" s="68"/>
      <c r="J326" s="68"/>
      <c r="K326" s="68"/>
      <c r="L326" s="68"/>
    </row>
    <row r="327" spans="1:12">
      <c r="A327" s="3"/>
      <c r="B327" s="66"/>
      <c r="C327" s="66"/>
      <c r="D327" s="66"/>
      <c r="E327" s="66"/>
      <c r="H327" s="3"/>
      <c r="I327" s="68"/>
      <c r="J327" s="68"/>
      <c r="K327" s="68"/>
      <c r="L327" s="68"/>
    </row>
    <row r="328" spans="1:12">
      <c r="A328" s="3"/>
      <c r="B328" s="66"/>
      <c r="C328" s="66"/>
      <c r="D328" s="66"/>
      <c r="E328" s="66"/>
      <c r="H328" s="3"/>
      <c r="I328" s="68"/>
      <c r="J328" s="68"/>
      <c r="K328" s="68"/>
      <c r="L328" s="68"/>
    </row>
    <row r="329" spans="1:12">
      <c r="A329" s="3"/>
      <c r="B329" s="66"/>
      <c r="C329" s="66"/>
      <c r="D329" s="66"/>
      <c r="E329" s="66"/>
      <c r="H329" s="3"/>
      <c r="I329" s="68"/>
      <c r="J329" s="68"/>
      <c r="K329" s="68"/>
      <c r="L329" s="68"/>
    </row>
    <row r="330" spans="1:12">
      <c r="A330" s="3"/>
      <c r="B330" s="66"/>
      <c r="C330" s="66"/>
      <c r="D330" s="66"/>
      <c r="E330" s="66"/>
      <c r="H330" s="3"/>
      <c r="I330" s="68"/>
      <c r="J330" s="68"/>
      <c r="K330" s="68"/>
      <c r="L330" s="68"/>
    </row>
    <row r="331" spans="1:12">
      <c r="A331" s="3"/>
      <c r="B331" s="66"/>
      <c r="C331" s="66"/>
      <c r="D331" s="66"/>
      <c r="E331" s="66"/>
      <c r="H331" s="3"/>
      <c r="I331" s="68"/>
      <c r="J331" s="68"/>
      <c r="K331" s="68"/>
      <c r="L331" s="68"/>
    </row>
    <row r="332" spans="1:12">
      <c r="A332" s="3"/>
      <c r="B332" s="66"/>
      <c r="C332" s="66"/>
      <c r="D332" s="66"/>
      <c r="E332" s="66"/>
      <c r="H332" s="3"/>
      <c r="I332" s="68"/>
      <c r="J332" s="68"/>
      <c r="K332" s="68"/>
      <c r="L332" s="68"/>
    </row>
    <row r="333" spans="1:12">
      <c r="A333" s="3"/>
      <c r="B333" s="66"/>
      <c r="C333" s="66"/>
      <c r="D333" s="66"/>
      <c r="E333" s="66"/>
      <c r="H333" s="3"/>
      <c r="I333" s="68"/>
      <c r="J333" s="68"/>
      <c r="K333" s="68"/>
      <c r="L333" s="68"/>
    </row>
    <row r="334" spans="1:12">
      <c r="A334" s="3"/>
      <c r="B334" s="66"/>
      <c r="C334" s="66"/>
      <c r="D334" s="66"/>
      <c r="E334" s="66"/>
      <c r="H334" s="3"/>
      <c r="I334" s="68"/>
      <c r="J334" s="68"/>
      <c r="K334" s="68"/>
      <c r="L334" s="68"/>
    </row>
    <row r="335" spans="1:12">
      <c r="A335" s="3"/>
      <c r="B335" s="66"/>
      <c r="C335" s="66"/>
      <c r="D335" s="66"/>
      <c r="E335" s="66"/>
      <c r="H335" s="3"/>
      <c r="I335" s="68"/>
      <c r="J335" s="68"/>
      <c r="K335" s="68"/>
      <c r="L335" s="68"/>
    </row>
    <row r="336" spans="1:12">
      <c r="A336" s="3"/>
      <c r="B336" s="66"/>
      <c r="C336" s="66"/>
      <c r="D336" s="66"/>
      <c r="E336" s="66"/>
      <c r="H336" s="3"/>
      <c r="I336" s="68"/>
      <c r="J336" s="68"/>
      <c r="K336" s="68"/>
      <c r="L336" s="68"/>
    </row>
    <row r="337" spans="1:12">
      <c r="A337" s="3"/>
      <c r="B337" s="66"/>
      <c r="C337" s="66"/>
      <c r="D337" s="66"/>
      <c r="E337" s="66"/>
      <c r="H337" s="3"/>
      <c r="I337" s="68"/>
      <c r="J337" s="68"/>
      <c r="K337" s="68"/>
      <c r="L337" s="68"/>
    </row>
    <row r="338" spans="1:12">
      <c r="A338" s="3"/>
      <c r="B338" s="66"/>
      <c r="C338" s="66"/>
      <c r="D338" s="66"/>
      <c r="E338" s="66"/>
      <c r="H338" s="3"/>
      <c r="I338" s="68"/>
      <c r="J338" s="68"/>
      <c r="K338" s="68"/>
      <c r="L338" s="68"/>
    </row>
    <row r="339" spans="1:12">
      <c r="A339" s="3"/>
      <c r="B339" s="66"/>
      <c r="C339" s="66"/>
      <c r="D339" s="66"/>
      <c r="E339" s="66"/>
      <c r="H339" s="3"/>
      <c r="I339" s="68"/>
      <c r="J339" s="68"/>
      <c r="K339" s="68"/>
      <c r="L339" s="68"/>
    </row>
    <row r="340" spans="1:12">
      <c r="A340" s="3"/>
      <c r="B340" s="66"/>
      <c r="C340" s="66"/>
      <c r="D340" s="66"/>
      <c r="E340" s="66"/>
      <c r="H340" s="3"/>
      <c r="I340" s="68"/>
      <c r="J340" s="68"/>
      <c r="K340" s="68"/>
      <c r="L340" s="68"/>
    </row>
    <row r="341" spans="1:12">
      <c r="A341" s="3"/>
      <c r="B341" s="66"/>
      <c r="C341" s="66"/>
      <c r="D341" s="66"/>
      <c r="E341" s="66"/>
      <c r="H341" s="3"/>
      <c r="I341" s="68"/>
      <c r="J341" s="68"/>
      <c r="K341" s="68"/>
      <c r="L341" s="68"/>
    </row>
    <row r="342" spans="1:12">
      <c r="A342" s="3"/>
      <c r="B342" s="66"/>
      <c r="C342" s="66"/>
      <c r="D342" s="66"/>
      <c r="E342" s="66"/>
      <c r="H342" s="3"/>
      <c r="I342" s="68"/>
      <c r="J342" s="68"/>
      <c r="K342" s="68"/>
      <c r="L342" s="68"/>
    </row>
    <row r="343" spans="1:12">
      <c r="A343" s="3"/>
      <c r="B343" s="66"/>
      <c r="C343" s="66"/>
      <c r="D343" s="66"/>
      <c r="E343" s="66"/>
      <c r="H343" s="3"/>
      <c r="I343" s="68"/>
      <c r="J343" s="68"/>
      <c r="K343" s="68"/>
      <c r="L343" s="68"/>
    </row>
    <row r="344" spans="1:12">
      <c r="A344" s="3"/>
      <c r="B344" s="66"/>
      <c r="C344" s="66"/>
      <c r="D344" s="66"/>
      <c r="E344" s="66"/>
      <c r="H344" s="3"/>
      <c r="I344" s="68"/>
      <c r="J344" s="68"/>
      <c r="K344" s="68"/>
      <c r="L344" s="68"/>
    </row>
    <row r="345" spans="1:12">
      <c r="A345" s="3"/>
      <c r="B345" s="66"/>
      <c r="C345" s="66"/>
      <c r="D345" s="66"/>
      <c r="E345" s="66"/>
      <c r="H345" s="3"/>
      <c r="I345" s="68"/>
      <c r="J345" s="68"/>
      <c r="K345" s="68"/>
      <c r="L345" s="68"/>
    </row>
    <row r="346" spans="1:12">
      <c r="A346" s="3"/>
      <c r="B346" s="66"/>
      <c r="C346" s="66"/>
      <c r="D346" s="66"/>
      <c r="E346" s="66"/>
      <c r="H346" s="3"/>
      <c r="I346" s="68"/>
      <c r="J346" s="68"/>
      <c r="K346" s="68"/>
      <c r="L346" s="68"/>
    </row>
    <row r="347" spans="1:12">
      <c r="A347" s="3"/>
      <c r="B347" s="66"/>
      <c r="C347" s="66"/>
      <c r="D347" s="66"/>
      <c r="E347" s="66"/>
      <c r="H347" s="3"/>
      <c r="I347" s="68"/>
      <c r="J347" s="68"/>
      <c r="K347" s="68"/>
      <c r="L347" s="68"/>
    </row>
    <row r="348" spans="1:12">
      <c r="A348" s="3"/>
      <c r="B348" s="66"/>
      <c r="C348" s="66"/>
      <c r="D348" s="66"/>
      <c r="E348" s="66"/>
      <c r="H348" s="3"/>
      <c r="I348" s="68"/>
      <c r="J348" s="68"/>
      <c r="K348" s="68"/>
      <c r="L348" s="68"/>
    </row>
    <row r="349" spans="1:12">
      <c r="A349" s="3"/>
      <c r="B349" s="66"/>
      <c r="C349" s="66"/>
      <c r="D349" s="66"/>
      <c r="E349" s="66"/>
      <c r="H349" s="3"/>
      <c r="I349" s="68"/>
      <c r="J349" s="68"/>
      <c r="K349" s="68"/>
      <c r="L349" s="68"/>
    </row>
    <row r="350" spans="1:12">
      <c r="A350" s="3"/>
      <c r="B350" s="66"/>
      <c r="C350" s="66"/>
      <c r="D350" s="66"/>
      <c r="E350" s="66"/>
      <c r="H350" s="3"/>
      <c r="I350" s="68"/>
      <c r="J350" s="68"/>
      <c r="K350" s="68"/>
      <c r="L350" s="68"/>
    </row>
    <row r="351" spans="1:12">
      <c r="A351" s="3"/>
      <c r="B351" s="66"/>
      <c r="C351" s="66"/>
      <c r="D351" s="66"/>
      <c r="E351" s="66"/>
      <c r="H351" s="3"/>
      <c r="I351" s="68"/>
      <c r="J351" s="68"/>
      <c r="K351" s="68"/>
      <c r="L351" s="68"/>
    </row>
    <row r="352" spans="1:12">
      <c r="A352" s="3"/>
      <c r="B352" s="66"/>
      <c r="C352" s="66"/>
      <c r="D352" s="66"/>
      <c r="E352" s="66"/>
      <c r="H352" s="3"/>
      <c r="I352" s="68"/>
      <c r="J352" s="68"/>
      <c r="K352" s="68"/>
      <c r="L352" s="68"/>
    </row>
    <row r="353" spans="1:12">
      <c r="A353" s="3"/>
      <c r="B353" s="66"/>
      <c r="C353" s="66"/>
      <c r="D353" s="66"/>
      <c r="E353" s="66"/>
      <c r="H353" s="3"/>
      <c r="I353" s="68"/>
      <c r="J353" s="68"/>
      <c r="K353" s="68"/>
      <c r="L353" s="68"/>
    </row>
    <row r="354" spans="1:12">
      <c r="A354" s="3"/>
      <c r="B354" s="66"/>
      <c r="C354" s="66"/>
      <c r="D354" s="66"/>
      <c r="E354" s="66"/>
      <c r="H354" s="3"/>
      <c r="I354" s="68"/>
      <c r="J354" s="68"/>
      <c r="K354" s="68"/>
      <c r="L354" s="68"/>
    </row>
    <row r="355" spans="1:12">
      <c r="A355" s="3"/>
      <c r="B355" s="66"/>
      <c r="C355" s="66"/>
      <c r="D355" s="66"/>
      <c r="E355" s="66"/>
      <c r="H355" s="3"/>
      <c r="I355" s="68"/>
      <c r="J355" s="68"/>
      <c r="K355" s="68"/>
      <c r="L355" s="68"/>
    </row>
    <row r="356" spans="1:12">
      <c r="A356" s="3"/>
      <c r="B356" s="66"/>
      <c r="C356" s="66"/>
      <c r="D356" s="66"/>
      <c r="E356" s="66"/>
      <c r="H356" s="3"/>
      <c r="I356" s="68"/>
      <c r="J356" s="68"/>
      <c r="K356" s="68"/>
      <c r="L356" s="68"/>
    </row>
    <row r="357" spans="1:12">
      <c r="A357" s="3"/>
      <c r="B357" s="66"/>
      <c r="C357" s="66"/>
      <c r="D357" s="66"/>
      <c r="E357" s="66"/>
      <c r="H357" s="3"/>
      <c r="I357" s="68"/>
      <c r="J357" s="68"/>
      <c r="K357" s="68"/>
      <c r="L357" s="68"/>
    </row>
    <row r="358" spans="1:12">
      <c r="A358" s="3"/>
      <c r="B358" s="66"/>
      <c r="C358" s="66"/>
      <c r="D358" s="66"/>
      <c r="E358" s="66"/>
      <c r="H358" s="3"/>
      <c r="I358" s="68"/>
      <c r="J358" s="68"/>
      <c r="K358" s="68"/>
      <c r="L358" s="68"/>
    </row>
    <row r="359" spans="1:12">
      <c r="A359" s="3"/>
      <c r="B359" s="66"/>
      <c r="C359" s="66"/>
      <c r="D359" s="66"/>
      <c r="E359" s="66"/>
      <c r="H359" s="3"/>
      <c r="I359" s="68"/>
      <c r="J359" s="68"/>
      <c r="K359" s="68"/>
      <c r="L359" s="68"/>
    </row>
    <row r="360" spans="1:12">
      <c r="A360" s="3"/>
      <c r="B360" s="66"/>
      <c r="C360" s="66"/>
      <c r="D360" s="66"/>
      <c r="E360" s="66"/>
      <c r="H360" s="3"/>
      <c r="I360" s="68"/>
      <c r="J360" s="68"/>
      <c r="K360" s="68"/>
      <c r="L360" s="68"/>
    </row>
    <row r="361" spans="1:12">
      <c r="A361" s="3"/>
      <c r="B361" s="66"/>
      <c r="C361" s="66"/>
      <c r="D361" s="66"/>
      <c r="E361" s="66"/>
      <c r="H361" s="3"/>
      <c r="I361" s="68"/>
      <c r="J361" s="68"/>
      <c r="K361" s="68"/>
      <c r="L361" s="68"/>
    </row>
    <row r="362" spans="1:12">
      <c r="A362" s="3"/>
      <c r="B362" s="66"/>
      <c r="C362" s="66"/>
      <c r="D362" s="66"/>
      <c r="E362" s="66"/>
      <c r="H362" s="3"/>
      <c r="I362" s="68"/>
      <c r="J362" s="68"/>
      <c r="K362" s="68"/>
      <c r="L362" s="68"/>
    </row>
    <row r="363" spans="1:12">
      <c r="A363" s="3"/>
      <c r="B363" s="66"/>
      <c r="C363" s="66"/>
      <c r="D363" s="66"/>
      <c r="E363" s="66"/>
      <c r="H363" s="3"/>
      <c r="I363" s="68"/>
      <c r="J363" s="68"/>
      <c r="K363" s="68"/>
      <c r="L363" s="68"/>
    </row>
    <row r="364" spans="1:12">
      <c r="A364" s="3"/>
      <c r="B364" s="66"/>
      <c r="C364" s="66"/>
      <c r="D364" s="66"/>
      <c r="E364" s="66"/>
      <c r="H364" s="3"/>
      <c r="I364" s="68"/>
      <c r="J364" s="68"/>
      <c r="K364" s="68"/>
      <c r="L364" s="68"/>
    </row>
    <row r="365" spans="1:12">
      <c r="A365" s="3"/>
      <c r="B365" s="66"/>
      <c r="C365" s="66"/>
      <c r="D365" s="66"/>
      <c r="E365" s="66"/>
      <c r="H365" s="3"/>
      <c r="I365" s="68"/>
      <c r="J365" s="68"/>
      <c r="K365" s="68"/>
      <c r="L365" s="68"/>
    </row>
    <row r="366" spans="1:12">
      <c r="A366" s="3"/>
      <c r="B366" s="66"/>
      <c r="C366" s="66"/>
      <c r="D366" s="66"/>
      <c r="E366" s="66"/>
      <c r="H366" s="3"/>
      <c r="I366" s="68"/>
      <c r="J366" s="68"/>
      <c r="K366" s="68"/>
      <c r="L366" s="68"/>
    </row>
    <row r="367" spans="1:12">
      <c r="A367" s="3"/>
      <c r="B367" s="66"/>
      <c r="C367" s="66"/>
      <c r="D367" s="66"/>
      <c r="E367" s="66"/>
      <c r="H367" s="3"/>
      <c r="I367" s="68"/>
      <c r="J367" s="68"/>
      <c r="K367" s="68"/>
      <c r="L367" s="68"/>
    </row>
    <row r="368" spans="1:12">
      <c r="A368" s="3"/>
      <c r="B368" s="66"/>
      <c r="C368" s="66"/>
      <c r="D368" s="66"/>
      <c r="E368" s="66"/>
      <c r="H368" s="3"/>
      <c r="I368" s="68"/>
      <c r="J368" s="68"/>
      <c r="K368" s="68"/>
      <c r="L368" s="68"/>
    </row>
    <row r="369" spans="1:12">
      <c r="A369" s="3"/>
      <c r="B369" s="66"/>
      <c r="C369" s="66"/>
      <c r="D369" s="66"/>
      <c r="E369" s="66"/>
      <c r="H369" s="3"/>
      <c r="I369" s="68"/>
      <c r="J369" s="68"/>
      <c r="K369" s="68"/>
      <c r="L369" s="68"/>
    </row>
    <row r="370" spans="1:12">
      <c r="A370" s="3"/>
      <c r="B370" s="66"/>
      <c r="C370" s="66"/>
      <c r="D370" s="66"/>
      <c r="E370" s="66"/>
      <c r="H370" s="3"/>
      <c r="I370" s="68"/>
      <c r="J370" s="68"/>
      <c r="K370" s="68"/>
      <c r="L370" s="68"/>
    </row>
    <row r="371" spans="1:12">
      <c r="A371" s="3"/>
      <c r="B371" s="66"/>
      <c r="C371" s="66"/>
      <c r="D371" s="66"/>
      <c r="E371" s="66"/>
      <c r="H371" s="3"/>
      <c r="I371" s="68"/>
      <c r="J371" s="68"/>
      <c r="K371" s="68"/>
      <c r="L371" s="68"/>
    </row>
    <row r="372" spans="1:12">
      <c r="A372" s="3"/>
      <c r="B372" s="66"/>
      <c r="C372" s="66"/>
      <c r="D372" s="66"/>
      <c r="E372" s="66"/>
      <c r="H372" s="3"/>
      <c r="I372" s="68"/>
      <c r="J372" s="68"/>
      <c r="K372" s="68"/>
      <c r="L372" s="68"/>
    </row>
    <row r="373" spans="1:12">
      <c r="A373" s="3"/>
      <c r="B373" s="66"/>
      <c r="C373" s="66"/>
      <c r="D373" s="66"/>
      <c r="E373" s="66"/>
      <c r="H373" s="3"/>
      <c r="I373" s="68"/>
      <c r="J373" s="68"/>
      <c r="K373" s="68"/>
      <c r="L373" s="68"/>
    </row>
    <row r="374" spans="1:12">
      <c r="A374" s="3"/>
      <c r="B374" s="66"/>
      <c r="C374" s="66"/>
      <c r="D374" s="66"/>
      <c r="E374" s="66"/>
      <c r="H374" s="3"/>
      <c r="I374" s="68"/>
      <c r="J374" s="68"/>
      <c r="K374" s="68"/>
      <c r="L374" s="68"/>
    </row>
    <row r="375" spans="1:12">
      <c r="A375" s="3"/>
      <c r="B375" s="66"/>
      <c r="C375" s="66"/>
      <c r="D375" s="66"/>
      <c r="E375" s="66"/>
      <c r="H375" s="3"/>
      <c r="I375" s="68"/>
      <c r="J375" s="68"/>
      <c r="K375" s="68"/>
      <c r="L375" s="68"/>
    </row>
    <row r="376" spans="1:12">
      <c r="A376" s="3"/>
      <c r="B376" s="66"/>
      <c r="C376" s="66"/>
      <c r="D376" s="66"/>
      <c r="E376" s="66"/>
      <c r="H376" s="3"/>
      <c r="I376" s="68"/>
      <c r="J376" s="68"/>
      <c r="K376" s="68"/>
      <c r="L376" s="68"/>
    </row>
    <row r="377" spans="1:12">
      <c r="A377" s="3"/>
      <c r="B377" s="66"/>
      <c r="C377" s="66"/>
      <c r="D377" s="66"/>
      <c r="E377" s="66"/>
      <c r="H377" s="3"/>
      <c r="I377" s="68"/>
      <c r="J377" s="68"/>
      <c r="K377" s="68"/>
      <c r="L377" s="68"/>
    </row>
    <row r="378" spans="1:12">
      <c r="A378" s="3"/>
      <c r="B378" s="66"/>
      <c r="C378" s="66"/>
      <c r="D378" s="66"/>
      <c r="E378" s="66"/>
      <c r="H378" s="3"/>
      <c r="I378" s="68"/>
      <c r="J378" s="68"/>
      <c r="K378" s="68"/>
      <c r="L378" s="68"/>
    </row>
    <row r="379" spans="1:12">
      <c r="A379" s="3"/>
      <c r="B379" s="66"/>
      <c r="C379" s="66"/>
      <c r="D379" s="66"/>
      <c r="E379" s="66"/>
      <c r="H379" s="3"/>
      <c r="I379" s="68"/>
      <c r="J379" s="68"/>
      <c r="K379" s="68"/>
      <c r="L379" s="68"/>
    </row>
    <row r="380" spans="1:12">
      <c r="A380" s="3"/>
      <c r="B380" s="66"/>
      <c r="C380" s="66"/>
      <c r="D380" s="66"/>
      <c r="E380" s="66"/>
      <c r="H380" s="3"/>
      <c r="I380" s="68"/>
      <c r="J380" s="68"/>
      <c r="K380" s="68"/>
      <c r="L380" s="68"/>
    </row>
    <row r="381" spans="1:12">
      <c r="A381" s="3"/>
      <c r="B381" s="66"/>
      <c r="C381" s="66"/>
      <c r="D381" s="66"/>
      <c r="E381" s="66"/>
      <c r="H381" s="3"/>
      <c r="I381" s="68"/>
      <c r="J381" s="68"/>
      <c r="K381" s="68"/>
      <c r="L381" s="68"/>
    </row>
    <row r="382" spans="1:12">
      <c r="A382" s="3"/>
      <c r="B382" s="66"/>
      <c r="C382" s="66"/>
      <c r="D382" s="66"/>
      <c r="E382" s="66"/>
      <c r="H382" s="3"/>
      <c r="I382" s="68"/>
      <c r="J382" s="68"/>
      <c r="K382" s="68"/>
      <c r="L382" s="68"/>
    </row>
    <row r="383" spans="1:12">
      <c r="A383" s="3"/>
      <c r="B383" s="66"/>
      <c r="C383" s="66"/>
      <c r="D383" s="66"/>
      <c r="E383" s="66"/>
      <c r="H383" s="3"/>
      <c r="I383" s="68"/>
      <c r="J383" s="68"/>
      <c r="K383" s="68"/>
      <c r="L383" s="68"/>
    </row>
    <row r="384" spans="1:12">
      <c r="A384" s="3"/>
      <c r="B384" s="66"/>
      <c r="C384" s="66"/>
      <c r="D384" s="66"/>
      <c r="E384" s="66"/>
      <c r="H384" s="3"/>
      <c r="I384" s="68"/>
      <c r="J384" s="68"/>
      <c r="K384" s="68"/>
      <c r="L384" s="68"/>
    </row>
    <row r="385" spans="1:12">
      <c r="A385" s="3"/>
      <c r="B385" s="66"/>
      <c r="C385" s="66"/>
      <c r="D385" s="66"/>
      <c r="E385" s="66"/>
      <c r="H385" s="3"/>
      <c r="I385" s="68"/>
      <c r="J385" s="68"/>
      <c r="K385" s="68"/>
      <c r="L385" s="68"/>
    </row>
    <row r="386" spans="1:12">
      <c r="A386" s="3"/>
      <c r="B386" s="66"/>
      <c r="C386" s="66"/>
      <c r="D386" s="66"/>
      <c r="E386" s="66"/>
      <c r="H386" s="3"/>
      <c r="I386" s="68"/>
      <c r="J386" s="68"/>
      <c r="K386" s="68"/>
      <c r="L386" s="68"/>
    </row>
    <row r="387" spans="1:12">
      <c r="A387" s="3"/>
      <c r="B387" s="66"/>
      <c r="C387" s="66"/>
      <c r="D387" s="66"/>
      <c r="E387" s="66"/>
      <c r="H387" s="3"/>
      <c r="I387" s="68"/>
      <c r="J387" s="68"/>
      <c r="K387" s="68"/>
      <c r="L387" s="68"/>
    </row>
    <row r="388" spans="1:12">
      <c r="A388" s="3"/>
      <c r="B388" s="66"/>
      <c r="C388" s="66"/>
      <c r="D388" s="66"/>
      <c r="E388" s="66"/>
      <c r="H388" s="3"/>
      <c r="I388" s="68"/>
      <c r="J388" s="68"/>
      <c r="K388" s="68"/>
      <c r="L388" s="68"/>
    </row>
    <row r="389" spans="1:12">
      <c r="A389" s="3"/>
      <c r="B389" s="66"/>
      <c r="C389" s="66"/>
      <c r="D389" s="66"/>
      <c r="E389" s="66"/>
      <c r="H389" s="3"/>
      <c r="I389" s="68"/>
      <c r="J389" s="68"/>
      <c r="K389" s="68"/>
      <c r="L389" s="68"/>
    </row>
    <row r="390" spans="1:12">
      <c r="A390" s="3"/>
      <c r="B390" s="66"/>
      <c r="C390" s="66"/>
      <c r="D390" s="66"/>
      <c r="E390" s="66"/>
      <c r="H390" s="3"/>
      <c r="I390" s="68"/>
      <c r="J390" s="68"/>
      <c r="K390" s="68"/>
      <c r="L390" s="68"/>
    </row>
    <row r="391" spans="1:12">
      <c r="A391" s="3"/>
      <c r="B391" s="66"/>
      <c r="C391" s="66"/>
      <c r="D391" s="66"/>
      <c r="E391" s="66"/>
      <c r="H391" s="3"/>
      <c r="I391" s="68"/>
      <c r="J391" s="68"/>
      <c r="K391" s="68"/>
      <c r="L391" s="68"/>
    </row>
    <row r="392" spans="1:12">
      <c r="A392" s="3"/>
      <c r="B392" s="66"/>
      <c r="C392" s="66"/>
      <c r="D392" s="66"/>
      <c r="E392" s="66"/>
      <c r="H392" s="3"/>
      <c r="I392" s="68"/>
      <c r="J392" s="68"/>
      <c r="K392" s="68"/>
      <c r="L392" s="68"/>
    </row>
    <row r="393" spans="1:12">
      <c r="A393" s="3"/>
      <c r="B393" s="66"/>
      <c r="C393" s="66"/>
      <c r="D393" s="66"/>
      <c r="E393" s="66"/>
      <c r="H393" s="3"/>
      <c r="I393" s="68"/>
      <c r="J393" s="68"/>
      <c r="K393" s="68"/>
      <c r="L393" s="68"/>
    </row>
    <row r="394" spans="1:12">
      <c r="A394" s="3"/>
      <c r="B394" s="66"/>
      <c r="C394" s="66"/>
      <c r="D394" s="66"/>
      <c r="E394" s="66"/>
      <c r="H394" s="3"/>
      <c r="I394" s="68"/>
      <c r="J394" s="68"/>
      <c r="K394" s="68"/>
      <c r="L394" s="68"/>
    </row>
    <row r="395" spans="1:12">
      <c r="A395" s="3"/>
      <c r="B395" s="66"/>
      <c r="C395" s="66"/>
      <c r="D395" s="66"/>
      <c r="E395" s="66"/>
      <c r="H395" s="3"/>
      <c r="I395" s="68"/>
      <c r="J395" s="68"/>
      <c r="K395" s="68"/>
      <c r="L395" s="68"/>
    </row>
    <row r="396" spans="1:12">
      <c r="A396" s="3"/>
      <c r="B396" s="66"/>
      <c r="C396" s="66"/>
      <c r="D396" s="66"/>
      <c r="E396" s="66"/>
      <c r="H396" s="3"/>
      <c r="I396" s="68"/>
      <c r="J396" s="68"/>
      <c r="K396" s="68"/>
      <c r="L396" s="68"/>
    </row>
    <row r="397" spans="1:12">
      <c r="A397" s="3"/>
      <c r="B397" s="66"/>
      <c r="C397" s="66"/>
      <c r="D397" s="66"/>
      <c r="E397" s="66"/>
      <c r="H397" s="3"/>
      <c r="I397" s="68"/>
      <c r="J397" s="68"/>
      <c r="K397" s="68"/>
      <c r="L397" s="68"/>
    </row>
    <row r="398" spans="1:12">
      <c r="A398" s="3"/>
      <c r="B398" s="66"/>
      <c r="C398" s="66"/>
      <c r="D398" s="66"/>
      <c r="E398" s="66"/>
      <c r="H398" s="3"/>
      <c r="I398" s="68"/>
      <c r="J398" s="68"/>
      <c r="K398" s="68"/>
      <c r="L398" s="68"/>
    </row>
    <row r="399" spans="1:12">
      <c r="A399" s="3"/>
      <c r="B399" s="66"/>
      <c r="C399" s="66"/>
      <c r="D399" s="66"/>
      <c r="E399" s="66"/>
      <c r="H399" s="3"/>
      <c r="I399" s="68"/>
      <c r="J399" s="68"/>
      <c r="K399" s="68"/>
      <c r="L399" s="68"/>
    </row>
    <row r="400" spans="1:12">
      <c r="A400" s="3"/>
      <c r="B400" s="66"/>
      <c r="C400" s="66"/>
      <c r="D400" s="66"/>
      <c r="E400" s="66"/>
      <c r="H400" s="3"/>
      <c r="I400" s="68"/>
      <c r="J400" s="68"/>
      <c r="K400" s="68"/>
      <c r="L400" s="68"/>
    </row>
    <row r="401" spans="1:12">
      <c r="A401" s="3"/>
      <c r="B401" s="66"/>
      <c r="C401" s="66"/>
      <c r="D401" s="66"/>
      <c r="E401" s="66"/>
      <c r="H401" s="3"/>
      <c r="I401" s="68"/>
      <c r="J401" s="68"/>
      <c r="K401" s="68"/>
      <c r="L401" s="68"/>
    </row>
    <row r="402" spans="1:12">
      <c r="A402" s="3"/>
      <c r="B402" s="66"/>
      <c r="C402" s="66"/>
      <c r="D402" s="66"/>
      <c r="E402" s="66"/>
      <c r="H402" s="3"/>
      <c r="I402" s="68"/>
      <c r="J402" s="68"/>
      <c r="K402" s="68"/>
      <c r="L402" s="68"/>
    </row>
    <row r="403" spans="1:12">
      <c r="A403" s="3"/>
      <c r="B403" s="66"/>
      <c r="C403" s="66"/>
      <c r="D403" s="66"/>
      <c r="E403" s="66"/>
      <c r="H403" s="3"/>
      <c r="I403" s="68"/>
      <c r="J403" s="68"/>
      <c r="K403" s="68"/>
      <c r="L403" s="68"/>
    </row>
    <row r="404" spans="1:12">
      <c r="A404" s="3"/>
      <c r="B404" s="66"/>
      <c r="C404" s="66"/>
      <c r="D404" s="66"/>
      <c r="E404" s="66"/>
      <c r="H404" s="3"/>
      <c r="I404" s="68"/>
      <c r="J404" s="68"/>
      <c r="K404" s="68"/>
      <c r="L404" s="68"/>
    </row>
    <row r="405" spans="1:12">
      <c r="A405" s="3"/>
      <c r="B405" s="66"/>
      <c r="C405" s="66"/>
      <c r="D405" s="66"/>
      <c r="E405" s="66"/>
      <c r="H405" s="3"/>
      <c r="I405" s="68"/>
      <c r="J405" s="68"/>
      <c r="K405" s="68"/>
      <c r="L405" s="68"/>
    </row>
    <row r="406" spans="1:12">
      <c r="A406" s="3"/>
      <c r="B406" s="66"/>
      <c r="C406" s="66"/>
      <c r="D406" s="66"/>
      <c r="E406" s="66"/>
      <c r="H406" s="3"/>
      <c r="I406" s="68"/>
      <c r="J406" s="68"/>
      <c r="K406" s="68"/>
      <c r="L406" s="68"/>
    </row>
    <row r="407" spans="1:12">
      <c r="A407" s="3"/>
      <c r="B407" s="66"/>
      <c r="C407" s="66"/>
      <c r="D407" s="66"/>
      <c r="E407" s="66"/>
      <c r="H407" s="3"/>
      <c r="I407" s="68"/>
      <c r="J407" s="68"/>
      <c r="K407" s="68"/>
      <c r="L407" s="68"/>
    </row>
    <row r="408" spans="1:12">
      <c r="A408" s="3"/>
      <c r="B408" s="66"/>
      <c r="C408" s="66"/>
      <c r="D408" s="66"/>
      <c r="E408" s="66"/>
      <c r="H408" s="3"/>
      <c r="I408" s="68"/>
      <c r="J408" s="68"/>
      <c r="K408" s="68"/>
      <c r="L408" s="68"/>
    </row>
    <row r="409" spans="1:12">
      <c r="A409" s="3"/>
      <c r="B409" s="66"/>
      <c r="C409" s="66"/>
      <c r="D409" s="66"/>
      <c r="E409" s="66"/>
      <c r="H409" s="3"/>
      <c r="I409" s="68"/>
      <c r="J409" s="68"/>
      <c r="K409" s="68"/>
      <c r="L409" s="68"/>
    </row>
    <row r="410" spans="1:12">
      <c r="A410" s="3"/>
      <c r="B410" s="66"/>
      <c r="C410" s="66"/>
      <c r="D410" s="66"/>
      <c r="E410" s="66"/>
      <c r="H410" s="3"/>
      <c r="I410" s="68"/>
      <c r="J410" s="68"/>
      <c r="K410" s="68"/>
      <c r="L410" s="68"/>
    </row>
    <row r="411" spans="1:12">
      <c r="A411" s="3"/>
      <c r="B411" s="66"/>
      <c r="C411" s="66"/>
      <c r="D411" s="66"/>
      <c r="E411" s="66"/>
      <c r="H411" s="3"/>
      <c r="I411" s="68"/>
      <c r="J411" s="68"/>
      <c r="K411" s="68"/>
      <c r="L411" s="68"/>
    </row>
    <row r="412" spans="1:12">
      <c r="A412" s="3"/>
      <c r="B412" s="66"/>
      <c r="C412" s="66"/>
      <c r="D412" s="66"/>
      <c r="E412" s="66"/>
      <c r="H412" s="3"/>
      <c r="I412" s="68"/>
      <c r="J412" s="68"/>
      <c r="K412" s="68"/>
      <c r="L412" s="68"/>
    </row>
    <row r="413" spans="1:12">
      <c r="A413" s="3"/>
      <c r="B413" s="66"/>
      <c r="C413" s="66"/>
      <c r="D413" s="66"/>
      <c r="E413" s="66"/>
      <c r="H413" s="3"/>
      <c r="I413" s="68"/>
      <c r="J413" s="68"/>
      <c r="K413" s="68"/>
      <c r="L413" s="68"/>
    </row>
    <row r="414" spans="1:12">
      <c r="A414" s="3"/>
      <c r="B414" s="66"/>
      <c r="C414" s="66"/>
      <c r="D414" s="66"/>
      <c r="E414" s="66"/>
      <c r="H414" s="3"/>
      <c r="I414" s="68"/>
      <c r="J414" s="68"/>
      <c r="K414" s="68"/>
      <c r="L414" s="68"/>
    </row>
    <row r="415" spans="1:12">
      <c r="A415" s="3"/>
      <c r="B415" s="66"/>
      <c r="C415" s="66"/>
      <c r="D415" s="66"/>
      <c r="E415" s="66"/>
      <c r="H415" s="3"/>
      <c r="I415" s="68"/>
      <c r="J415" s="68"/>
      <c r="K415" s="68"/>
      <c r="L415" s="68"/>
    </row>
    <row r="416" spans="1:12">
      <c r="A416" s="3"/>
      <c r="B416" s="66"/>
      <c r="C416" s="66"/>
      <c r="D416" s="66"/>
      <c r="E416" s="66"/>
      <c r="H416" s="3"/>
      <c r="I416" s="68"/>
      <c r="J416" s="68"/>
      <c r="K416" s="68"/>
      <c r="L416" s="68"/>
    </row>
    <row r="417" spans="1:12">
      <c r="A417" s="3"/>
      <c r="B417" s="66"/>
      <c r="C417" s="66"/>
      <c r="D417" s="66"/>
      <c r="E417" s="66"/>
      <c r="H417" s="3"/>
      <c r="I417" s="68"/>
      <c r="J417" s="68"/>
      <c r="K417" s="68"/>
      <c r="L417" s="68"/>
    </row>
    <row r="418" spans="1:12">
      <c r="A418" s="3"/>
      <c r="B418" s="66"/>
      <c r="C418" s="66"/>
      <c r="D418" s="66"/>
      <c r="E418" s="66"/>
      <c r="H418" s="3"/>
      <c r="I418" s="68"/>
      <c r="J418" s="68"/>
      <c r="K418" s="68"/>
      <c r="L418" s="68"/>
    </row>
    <row r="419" spans="1:12">
      <c r="A419" s="3"/>
      <c r="B419" s="66"/>
      <c r="C419" s="66"/>
      <c r="D419" s="66"/>
      <c r="E419" s="66"/>
      <c r="H419" s="3"/>
      <c r="I419" s="68"/>
      <c r="J419" s="68"/>
      <c r="K419" s="68"/>
      <c r="L419" s="68"/>
    </row>
    <row r="420" spans="1:12">
      <c r="A420" s="3"/>
      <c r="B420" s="66"/>
      <c r="C420" s="66"/>
      <c r="D420" s="66"/>
      <c r="E420" s="66"/>
      <c r="H420" s="3"/>
      <c r="I420" s="68"/>
      <c r="J420" s="68"/>
      <c r="K420" s="68"/>
      <c r="L420" s="68"/>
    </row>
    <row r="421" spans="1:12">
      <c r="A421" s="3"/>
      <c r="B421" s="66"/>
      <c r="C421" s="66"/>
      <c r="D421" s="66"/>
      <c r="E421" s="66"/>
      <c r="H421" s="3"/>
      <c r="I421" s="68"/>
      <c r="J421" s="68"/>
      <c r="K421" s="68"/>
      <c r="L421" s="68"/>
    </row>
    <row r="422" spans="1:12">
      <c r="A422" s="3"/>
      <c r="B422" s="66"/>
      <c r="C422" s="66"/>
      <c r="D422" s="66"/>
      <c r="E422" s="66"/>
      <c r="H422" s="3"/>
      <c r="I422" s="68"/>
      <c r="J422" s="68"/>
      <c r="K422" s="68"/>
      <c r="L422" s="68"/>
    </row>
    <row r="423" spans="1:12">
      <c r="A423" s="3"/>
      <c r="B423" s="66"/>
      <c r="C423" s="66"/>
      <c r="D423" s="66"/>
      <c r="E423" s="66"/>
      <c r="H423" s="3"/>
      <c r="I423" s="68"/>
      <c r="J423" s="68"/>
      <c r="K423" s="68"/>
      <c r="L423" s="68"/>
    </row>
    <row r="424" spans="1:12">
      <c r="A424" s="3"/>
      <c r="B424" s="66"/>
      <c r="C424" s="66"/>
      <c r="D424" s="66"/>
      <c r="E424" s="66"/>
      <c r="H424" s="3"/>
      <c r="I424" s="68"/>
      <c r="J424" s="68"/>
      <c r="K424" s="68"/>
      <c r="L424" s="68"/>
    </row>
    <row r="425" spans="1:12">
      <c r="A425" s="3"/>
      <c r="B425" s="66"/>
      <c r="C425" s="66"/>
      <c r="D425" s="66"/>
      <c r="E425" s="66"/>
      <c r="H425" s="3"/>
      <c r="I425" s="68"/>
      <c r="J425" s="68"/>
      <c r="K425" s="68"/>
      <c r="L425" s="68"/>
    </row>
    <row r="426" spans="1:12">
      <c r="A426" s="3"/>
      <c r="B426" s="66"/>
      <c r="C426" s="66"/>
      <c r="D426" s="66"/>
      <c r="E426" s="66"/>
      <c r="H426" s="3"/>
      <c r="I426" s="68"/>
      <c r="J426" s="68"/>
      <c r="K426" s="68"/>
      <c r="L426" s="68"/>
    </row>
    <row r="427" spans="1:12">
      <c r="A427" s="3"/>
      <c r="B427" s="66"/>
      <c r="C427" s="66"/>
      <c r="D427" s="66"/>
      <c r="E427" s="66"/>
      <c r="H427" s="3"/>
      <c r="I427" s="68"/>
      <c r="J427" s="68"/>
      <c r="K427" s="68"/>
      <c r="L427" s="68"/>
    </row>
    <row r="428" spans="1:12">
      <c r="A428" s="3"/>
      <c r="B428" s="66"/>
      <c r="C428" s="66"/>
      <c r="D428" s="66"/>
      <c r="E428" s="66"/>
      <c r="H428" s="3"/>
      <c r="I428" s="68"/>
      <c r="J428" s="68"/>
      <c r="K428" s="68"/>
      <c r="L428" s="68"/>
    </row>
    <row r="429" spans="1:12">
      <c r="A429" s="3"/>
      <c r="B429" s="66"/>
      <c r="C429" s="66"/>
      <c r="D429" s="66"/>
      <c r="E429" s="66"/>
      <c r="H429" s="3"/>
      <c r="I429" s="68"/>
      <c r="J429" s="68"/>
      <c r="K429" s="68"/>
      <c r="L429" s="68"/>
    </row>
    <row r="430" spans="1:12">
      <c r="A430" s="3"/>
      <c r="B430" s="66"/>
      <c r="C430" s="66"/>
      <c r="D430" s="66"/>
      <c r="E430" s="66"/>
      <c r="H430" s="3"/>
      <c r="I430" s="68"/>
      <c r="J430" s="68"/>
      <c r="K430" s="68"/>
      <c r="L430" s="68"/>
    </row>
    <row r="431" spans="1:12">
      <c r="A431" s="3"/>
      <c r="B431" s="66"/>
      <c r="C431" s="66"/>
      <c r="D431" s="66"/>
      <c r="E431" s="66"/>
      <c r="H431" s="3"/>
      <c r="I431" s="68"/>
      <c r="J431" s="68"/>
      <c r="K431" s="68"/>
      <c r="L431" s="68"/>
    </row>
    <row r="432" spans="1:12">
      <c r="A432" s="3"/>
      <c r="B432" s="66"/>
      <c r="C432" s="66"/>
      <c r="D432" s="66"/>
      <c r="E432" s="66"/>
      <c r="H432" s="3"/>
      <c r="I432" s="68"/>
      <c r="J432" s="68"/>
      <c r="K432" s="68"/>
      <c r="L432" s="68"/>
    </row>
    <row r="433" spans="1:12">
      <c r="A433" s="3"/>
      <c r="B433" s="66"/>
      <c r="C433" s="66"/>
      <c r="D433" s="66"/>
      <c r="E433" s="66"/>
      <c r="H433" s="3"/>
      <c r="I433" s="68"/>
      <c r="J433" s="68"/>
      <c r="K433" s="68"/>
      <c r="L433" s="68"/>
    </row>
    <row r="434" spans="1:12">
      <c r="A434" s="3"/>
      <c r="B434" s="66"/>
      <c r="C434" s="66"/>
      <c r="D434" s="66"/>
      <c r="E434" s="66"/>
      <c r="H434" s="3"/>
      <c r="I434" s="68"/>
      <c r="J434" s="68"/>
      <c r="K434" s="68"/>
      <c r="L434" s="68"/>
    </row>
    <row r="435" spans="1:12">
      <c r="A435" s="3"/>
      <c r="B435" s="66"/>
      <c r="C435" s="66"/>
      <c r="D435" s="66"/>
      <c r="E435" s="66"/>
      <c r="H435" s="3"/>
      <c r="I435" s="68"/>
      <c r="J435" s="68"/>
      <c r="K435" s="68"/>
      <c r="L435" s="68"/>
    </row>
    <row r="436" spans="1:12">
      <c r="A436" s="3"/>
      <c r="B436" s="66"/>
      <c r="C436" s="66"/>
      <c r="D436" s="66"/>
      <c r="E436" s="66"/>
      <c r="H436" s="3"/>
      <c r="I436" s="68"/>
      <c r="J436" s="68"/>
      <c r="K436" s="68"/>
      <c r="L436" s="68"/>
    </row>
    <row r="437" spans="1:12">
      <c r="A437" s="3"/>
      <c r="B437" s="66"/>
      <c r="C437" s="66"/>
      <c r="D437" s="66"/>
      <c r="E437" s="66"/>
      <c r="H437" s="3"/>
      <c r="I437" s="68"/>
      <c r="J437" s="68"/>
      <c r="K437" s="68"/>
      <c r="L437" s="68"/>
    </row>
    <row r="438" spans="1:12">
      <c r="A438" s="3"/>
      <c r="B438" s="66"/>
      <c r="C438" s="66"/>
      <c r="D438" s="66"/>
      <c r="E438" s="66"/>
      <c r="H438" s="3"/>
      <c r="I438" s="68"/>
      <c r="J438" s="68"/>
      <c r="K438" s="68"/>
      <c r="L438" s="68"/>
    </row>
    <row r="439" spans="1:12">
      <c r="A439" s="3"/>
      <c r="B439" s="66"/>
      <c r="C439" s="66"/>
      <c r="D439" s="66"/>
      <c r="E439" s="66"/>
      <c r="H439" s="3"/>
      <c r="I439" s="68"/>
      <c r="J439" s="68"/>
      <c r="K439" s="68"/>
      <c r="L439" s="68"/>
    </row>
    <row r="440" spans="1:12">
      <c r="A440" s="3"/>
      <c r="B440" s="66"/>
      <c r="C440" s="66"/>
      <c r="D440" s="66"/>
      <c r="E440" s="66"/>
      <c r="H440" s="3"/>
      <c r="I440" s="68"/>
      <c r="J440" s="68"/>
      <c r="K440" s="68"/>
      <c r="L440" s="68"/>
    </row>
    <row r="441" spans="1:12">
      <c r="A441" s="3"/>
      <c r="B441" s="66"/>
      <c r="C441" s="66"/>
      <c r="D441" s="66"/>
      <c r="E441" s="66"/>
      <c r="H441" s="3"/>
      <c r="I441" s="68"/>
      <c r="J441" s="68"/>
      <c r="K441" s="68"/>
      <c r="L441" s="68"/>
    </row>
    <row r="442" spans="1:12">
      <c r="A442" s="3"/>
      <c r="B442" s="66"/>
      <c r="C442" s="66"/>
      <c r="D442" s="66"/>
      <c r="E442" s="66"/>
      <c r="H442" s="3"/>
      <c r="I442" s="68"/>
      <c r="J442" s="68"/>
      <c r="K442" s="68"/>
      <c r="L442" s="68"/>
    </row>
    <row r="443" spans="1:12">
      <c r="A443" s="3"/>
      <c r="B443" s="66"/>
      <c r="C443" s="66"/>
      <c r="D443" s="66"/>
      <c r="E443" s="66"/>
      <c r="H443" s="3"/>
      <c r="I443" s="68"/>
      <c r="J443" s="68"/>
      <c r="K443" s="68"/>
      <c r="L443" s="68"/>
    </row>
    <row r="444" spans="1:12">
      <c r="A444" s="3"/>
      <c r="B444" s="66"/>
      <c r="C444" s="66"/>
      <c r="D444" s="66"/>
      <c r="E444" s="66"/>
      <c r="H444" s="3"/>
      <c r="I444" s="68"/>
      <c r="J444" s="68"/>
      <c r="K444" s="68"/>
      <c r="L444" s="68"/>
    </row>
    <row r="445" spans="1:12">
      <c r="A445" s="3"/>
      <c r="B445" s="66"/>
      <c r="C445" s="66"/>
      <c r="D445" s="66"/>
      <c r="E445" s="66"/>
      <c r="H445" s="3"/>
      <c r="I445" s="68"/>
      <c r="J445" s="68"/>
      <c r="K445" s="68"/>
      <c r="L445" s="68"/>
    </row>
    <row r="446" spans="1:12">
      <c r="A446" s="3"/>
      <c r="B446" s="66"/>
      <c r="C446" s="66"/>
      <c r="D446" s="66"/>
      <c r="E446" s="66"/>
      <c r="H446" s="3"/>
      <c r="I446" s="68"/>
      <c r="J446" s="68"/>
      <c r="K446" s="68"/>
      <c r="L446" s="68"/>
    </row>
    <row r="447" spans="1:12">
      <c r="A447" s="3"/>
      <c r="B447" s="66"/>
      <c r="C447" s="66"/>
      <c r="D447" s="66"/>
      <c r="E447" s="66"/>
      <c r="H447" s="3"/>
      <c r="I447" s="68"/>
      <c r="J447" s="68"/>
      <c r="K447" s="68"/>
      <c r="L447" s="68"/>
    </row>
    <row r="448" spans="1:12">
      <c r="A448" s="3"/>
      <c r="B448" s="66"/>
      <c r="C448" s="66"/>
      <c r="D448" s="66"/>
      <c r="E448" s="66"/>
      <c r="H448" s="3"/>
      <c r="I448" s="68"/>
      <c r="J448" s="68"/>
      <c r="K448" s="68"/>
      <c r="L448" s="68"/>
    </row>
    <row r="449" spans="1:12">
      <c r="A449" s="3"/>
      <c r="B449" s="66"/>
      <c r="C449" s="66"/>
      <c r="D449" s="66"/>
      <c r="E449" s="66"/>
      <c r="H449" s="3"/>
      <c r="I449" s="68"/>
      <c r="J449" s="68"/>
      <c r="K449" s="68"/>
      <c r="L449" s="68"/>
    </row>
    <row r="450" spans="1:12">
      <c r="A450" s="3"/>
      <c r="B450" s="66"/>
      <c r="C450" s="66"/>
      <c r="D450" s="66"/>
      <c r="E450" s="66"/>
      <c r="H450" s="3"/>
      <c r="I450" s="68"/>
      <c r="J450" s="68"/>
      <c r="K450" s="68"/>
      <c r="L450" s="68"/>
    </row>
    <row r="451" spans="1:12">
      <c r="A451" s="3"/>
      <c r="B451" s="66"/>
      <c r="C451" s="66"/>
      <c r="D451" s="66"/>
      <c r="E451" s="66"/>
      <c r="H451" s="3"/>
      <c r="I451" s="68"/>
      <c r="J451" s="68"/>
      <c r="K451" s="68"/>
      <c r="L451" s="68"/>
    </row>
    <row r="452" spans="1:12">
      <c r="A452" s="3"/>
      <c r="B452" s="66"/>
      <c r="C452" s="66"/>
      <c r="D452" s="66"/>
      <c r="E452" s="66"/>
      <c r="H452" s="3"/>
      <c r="I452" s="68"/>
      <c r="J452" s="68"/>
      <c r="K452" s="68"/>
      <c r="L452" s="68"/>
    </row>
    <row r="453" spans="1:12">
      <c r="A453" s="3"/>
      <c r="B453" s="66"/>
      <c r="C453" s="66"/>
      <c r="D453" s="66"/>
      <c r="E453" s="66"/>
      <c r="H453" s="3"/>
      <c r="I453" s="68"/>
      <c r="J453" s="68"/>
      <c r="K453" s="68"/>
      <c r="L453" s="68"/>
    </row>
    <row r="454" spans="1:12">
      <c r="A454" s="3"/>
      <c r="B454" s="66"/>
      <c r="C454" s="66"/>
      <c r="D454" s="66"/>
      <c r="E454" s="66"/>
      <c r="H454" s="3"/>
      <c r="I454" s="68"/>
      <c r="J454" s="68"/>
      <c r="K454" s="68"/>
      <c r="L454" s="68"/>
    </row>
    <row r="455" spans="1:12">
      <c r="A455" s="3"/>
      <c r="B455" s="66"/>
      <c r="C455" s="66"/>
      <c r="D455" s="66"/>
      <c r="E455" s="66"/>
      <c r="H455" s="3"/>
      <c r="I455" s="68"/>
      <c r="J455" s="68"/>
      <c r="K455" s="68"/>
      <c r="L455" s="68"/>
    </row>
    <row r="456" spans="1:12">
      <c r="A456" s="3"/>
      <c r="B456" s="66"/>
      <c r="C456" s="66"/>
      <c r="D456" s="66"/>
      <c r="E456" s="66"/>
      <c r="H456" s="3"/>
      <c r="I456" s="68"/>
      <c r="J456" s="68"/>
      <c r="K456" s="68"/>
      <c r="L456" s="68"/>
    </row>
    <row r="457" spans="1:12">
      <c r="A457" s="3"/>
      <c r="B457" s="66"/>
      <c r="C457" s="66"/>
      <c r="D457" s="66"/>
      <c r="E457" s="66"/>
      <c r="H457" s="3"/>
      <c r="I457" s="68"/>
      <c r="J457" s="68"/>
      <c r="K457" s="68"/>
      <c r="L457" s="68"/>
    </row>
    <row r="458" spans="1:12">
      <c r="A458" s="3"/>
      <c r="B458" s="66"/>
      <c r="C458" s="66"/>
      <c r="D458" s="66"/>
      <c r="E458" s="66"/>
      <c r="H458" s="3"/>
      <c r="I458" s="68"/>
      <c r="J458" s="68"/>
      <c r="K458" s="68"/>
      <c r="L458" s="68"/>
    </row>
    <row r="459" spans="1:12">
      <c r="A459" s="3"/>
      <c r="B459" s="66"/>
      <c r="C459" s="66"/>
      <c r="D459" s="66"/>
      <c r="E459" s="66"/>
      <c r="H459" s="3"/>
      <c r="I459" s="68"/>
      <c r="J459" s="68"/>
      <c r="K459" s="68"/>
      <c r="L459" s="68"/>
    </row>
    <row r="460" spans="1:12">
      <c r="A460" s="3"/>
      <c r="B460" s="66"/>
      <c r="C460" s="66"/>
      <c r="D460" s="66"/>
      <c r="E460" s="66"/>
      <c r="H460" s="3"/>
      <c r="I460" s="68"/>
      <c r="J460" s="68"/>
      <c r="K460" s="68"/>
      <c r="L460" s="68"/>
    </row>
    <row r="461" spans="1:12">
      <c r="A461" s="3"/>
      <c r="B461" s="66"/>
      <c r="C461" s="66"/>
      <c r="D461" s="66"/>
      <c r="E461" s="66"/>
      <c r="H461" s="3"/>
      <c r="I461" s="68"/>
      <c r="J461" s="68"/>
      <c r="K461" s="68"/>
      <c r="L461" s="68"/>
    </row>
    <row r="462" spans="1:12">
      <c r="A462" s="3"/>
      <c r="B462" s="66"/>
      <c r="C462" s="66"/>
      <c r="D462" s="66"/>
      <c r="E462" s="66"/>
      <c r="H462" s="3"/>
      <c r="I462" s="68"/>
      <c r="J462" s="68"/>
      <c r="K462" s="68"/>
      <c r="L462" s="68"/>
    </row>
    <row r="463" spans="1:12">
      <c r="A463" s="3"/>
      <c r="B463" s="66"/>
      <c r="C463" s="66"/>
      <c r="D463" s="66"/>
      <c r="E463" s="66"/>
      <c r="H463" s="3"/>
      <c r="I463" s="68"/>
      <c r="J463" s="68"/>
      <c r="K463" s="68"/>
      <c r="L463" s="68"/>
    </row>
    <row r="464" spans="1:12">
      <c r="A464" s="3"/>
      <c r="B464" s="66"/>
      <c r="C464" s="66"/>
      <c r="D464" s="66"/>
      <c r="E464" s="66"/>
      <c r="H464" s="3"/>
      <c r="I464" s="68"/>
      <c r="J464" s="68"/>
      <c r="K464" s="68"/>
      <c r="L464" s="68"/>
    </row>
    <row r="465" spans="1:12">
      <c r="A465" s="3"/>
      <c r="B465" s="66"/>
      <c r="C465" s="66"/>
      <c r="D465" s="66"/>
      <c r="E465" s="66"/>
      <c r="H465" s="3"/>
      <c r="I465" s="68"/>
      <c r="J465" s="68"/>
      <c r="K465" s="68"/>
      <c r="L465" s="68"/>
    </row>
    <row r="466" spans="1:12">
      <c r="A466" s="3"/>
      <c r="B466" s="66"/>
      <c r="C466" s="66"/>
      <c r="D466" s="66"/>
      <c r="E466" s="66"/>
      <c r="H466" s="3"/>
      <c r="I466" s="68"/>
      <c r="J466" s="68"/>
      <c r="K466" s="68"/>
      <c r="L466" s="68"/>
    </row>
    <row r="467" spans="1:12">
      <c r="A467" s="3"/>
      <c r="B467" s="66"/>
      <c r="C467" s="66"/>
      <c r="D467" s="66"/>
      <c r="E467" s="66"/>
      <c r="H467" s="3"/>
      <c r="I467" s="68"/>
      <c r="J467" s="68"/>
      <c r="K467" s="68"/>
      <c r="L467" s="68"/>
    </row>
    <row r="468" spans="1:12">
      <c r="A468" s="3"/>
      <c r="B468" s="66"/>
      <c r="C468" s="66"/>
      <c r="D468" s="66"/>
      <c r="E468" s="66"/>
      <c r="H468" s="3"/>
      <c r="I468" s="68"/>
      <c r="J468" s="68"/>
      <c r="K468" s="68"/>
      <c r="L468" s="68"/>
    </row>
    <row r="469" spans="1:12">
      <c r="A469" s="3"/>
      <c r="B469" s="66"/>
      <c r="C469" s="66"/>
      <c r="D469" s="66"/>
      <c r="E469" s="66"/>
      <c r="H469" s="3"/>
      <c r="I469" s="68"/>
      <c r="J469" s="68"/>
      <c r="K469" s="68"/>
      <c r="L469" s="68"/>
    </row>
    <row r="470" spans="1:12">
      <c r="A470" s="3"/>
      <c r="B470" s="66"/>
      <c r="C470" s="66"/>
      <c r="D470" s="66"/>
      <c r="E470" s="66"/>
      <c r="H470" s="3"/>
      <c r="I470" s="68"/>
      <c r="J470" s="68"/>
      <c r="K470" s="68"/>
      <c r="L470" s="68"/>
    </row>
    <row r="471" spans="1:12">
      <c r="A471" s="3"/>
      <c r="B471" s="66"/>
      <c r="C471" s="66"/>
      <c r="D471" s="66"/>
      <c r="E471" s="66"/>
      <c r="H471" s="3"/>
      <c r="I471" s="68"/>
      <c r="J471" s="68"/>
      <c r="K471" s="68"/>
      <c r="L471" s="68"/>
    </row>
    <row r="472" spans="1:12">
      <c r="A472" s="3"/>
      <c r="B472" s="66"/>
      <c r="C472" s="66"/>
      <c r="D472" s="66"/>
      <c r="E472" s="66"/>
      <c r="H472" s="3"/>
      <c r="I472" s="68"/>
      <c r="J472" s="68"/>
      <c r="K472" s="68"/>
      <c r="L472" s="68"/>
    </row>
    <row r="473" spans="1:12">
      <c r="A473" s="3"/>
      <c r="B473" s="66"/>
      <c r="C473" s="66"/>
      <c r="D473" s="66"/>
      <c r="E473" s="66"/>
      <c r="H473" s="3"/>
      <c r="I473" s="68"/>
      <c r="J473" s="68"/>
      <c r="K473" s="68"/>
      <c r="L473" s="68"/>
    </row>
    <row r="474" spans="1:12">
      <c r="A474" s="3"/>
      <c r="B474" s="66"/>
      <c r="C474" s="66"/>
      <c r="D474" s="66"/>
      <c r="E474" s="66"/>
      <c r="H474" s="3"/>
      <c r="I474" s="68"/>
      <c r="J474" s="68"/>
      <c r="K474" s="68"/>
      <c r="L474" s="68"/>
    </row>
    <row r="475" spans="1:12">
      <c r="A475" s="3"/>
      <c r="B475" s="66"/>
      <c r="C475" s="66"/>
      <c r="D475" s="66"/>
      <c r="E475" s="66"/>
      <c r="H475" s="3"/>
      <c r="I475" s="68"/>
      <c r="J475" s="68"/>
      <c r="K475" s="68"/>
      <c r="L475" s="68"/>
    </row>
    <row r="476" spans="1:12">
      <c r="A476" s="3"/>
      <c r="B476" s="66"/>
      <c r="C476" s="66"/>
      <c r="D476" s="66"/>
      <c r="E476" s="66"/>
      <c r="H476" s="3"/>
      <c r="I476" s="68"/>
      <c r="J476" s="68"/>
      <c r="K476" s="68"/>
      <c r="L476" s="68"/>
    </row>
    <row r="477" spans="1:12">
      <c r="A477" s="3"/>
      <c r="B477" s="66"/>
      <c r="C477" s="66"/>
      <c r="D477" s="66"/>
      <c r="E477" s="66"/>
      <c r="H477" s="3"/>
      <c r="I477" s="68"/>
      <c r="J477" s="68"/>
      <c r="K477" s="68"/>
      <c r="L477" s="68"/>
    </row>
    <row r="478" spans="1:12">
      <c r="A478" s="3"/>
      <c r="B478" s="66"/>
      <c r="C478" s="66"/>
      <c r="D478" s="66"/>
      <c r="E478" s="66"/>
      <c r="H478" s="3"/>
      <c r="I478" s="68"/>
      <c r="J478" s="68"/>
      <c r="K478" s="68"/>
      <c r="L478" s="68"/>
    </row>
    <row r="479" spans="1:12">
      <c r="A479" s="3"/>
      <c r="B479" s="66"/>
      <c r="C479" s="66"/>
      <c r="D479" s="66"/>
      <c r="E479" s="66"/>
      <c r="H479" s="3"/>
      <c r="I479" s="68"/>
      <c r="J479" s="68"/>
      <c r="K479" s="68"/>
      <c r="L479" s="68"/>
    </row>
    <row r="480" spans="1:12">
      <c r="A480" s="3"/>
      <c r="B480" s="66"/>
      <c r="C480" s="66"/>
      <c r="D480" s="66"/>
      <c r="E480" s="66"/>
      <c r="H480" s="3"/>
      <c r="I480" s="68"/>
      <c r="J480" s="68"/>
      <c r="K480" s="68"/>
      <c r="L480" s="68"/>
    </row>
    <row r="481" spans="1:12">
      <c r="A481" s="3"/>
      <c r="B481" s="66"/>
      <c r="C481" s="66"/>
      <c r="D481" s="66"/>
      <c r="E481" s="66"/>
      <c r="H481" s="3"/>
      <c r="I481" s="68"/>
      <c r="J481" s="68"/>
      <c r="K481" s="68"/>
      <c r="L481" s="68"/>
    </row>
    <row r="482" spans="1:12">
      <c r="A482" s="3"/>
      <c r="B482" s="66"/>
      <c r="C482" s="66"/>
      <c r="D482" s="66"/>
      <c r="E482" s="66"/>
      <c r="H482" s="3"/>
      <c r="I482" s="68"/>
      <c r="J482" s="68"/>
      <c r="K482" s="68"/>
      <c r="L482" s="68"/>
    </row>
    <row r="483" spans="1:12">
      <c r="A483" s="3"/>
      <c r="B483" s="66"/>
      <c r="C483" s="66"/>
      <c r="D483" s="66"/>
      <c r="E483" s="66"/>
      <c r="H483" s="3"/>
      <c r="I483" s="68"/>
      <c r="J483" s="68"/>
      <c r="K483" s="68"/>
      <c r="L483" s="68"/>
    </row>
    <row r="484" spans="1:12">
      <c r="A484" s="3"/>
      <c r="B484" s="66"/>
      <c r="C484" s="66"/>
      <c r="D484" s="66"/>
      <c r="E484" s="66"/>
      <c r="H484" s="3"/>
      <c r="I484" s="68"/>
      <c r="J484" s="68"/>
      <c r="K484" s="68"/>
      <c r="L484" s="68"/>
    </row>
    <row r="485" spans="1:12">
      <c r="A485" s="3"/>
      <c r="B485" s="66"/>
      <c r="C485" s="66"/>
      <c r="D485" s="66"/>
      <c r="E485" s="66"/>
      <c r="H485" s="3"/>
      <c r="I485" s="68"/>
      <c r="J485" s="68"/>
      <c r="K485" s="68"/>
      <c r="L485" s="68"/>
    </row>
    <row r="486" spans="1:12">
      <c r="A486" s="3"/>
      <c r="B486" s="66"/>
      <c r="C486" s="66"/>
      <c r="D486" s="66"/>
      <c r="E486" s="66"/>
      <c r="H486" s="3"/>
      <c r="I486" s="68"/>
      <c r="J486" s="68"/>
      <c r="K486" s="68"/>
      <c r="L486" s="68"/>
    </row>
    <row r="487" spans="1:12">
      <c r="A487" s="3"/>
      <c r="B487" s="66"/>
      <c r="C487" s="66"/>
      <c r="D487" s="66"/>
      <c r="E487" s="66"/>
      <c r="H487" s="3"/>
      <c r="I487" s="68"/>
      <c r="J487" s="68"/>
      <c r="K487" s="68"/>
      <c r="L487" s="68"/>
    </row>
    <row r="488" spans="1:12">
      <c r="A488" s="3"/>
      <c r="B488" s="66"/>
      <c r="C488" s="66"/>
      <c r="D488" s="66"/>
      <c r="E488" s="66"/>
      <c r="H488" s="3"/>
      <c r="I488" s="68"/>
      <c r="J488" s="68"/>
      <c r="K488" s="68"/>
      <c r="L488" s="68"/>
    </row>
    <row r="489" spans="1:12">
      <c r="A489" s="3"/>
      <c r="B489" s="66"/>
      <c r="C489" s="66"/>
      <c r="D489" s="66"/>
      <c r="E489" s="66"/>
      <c r="H489" s="3"/>
      <c r="I489" s="68"/>
      <c r="J489" s="68"/>
      <c r="K489" s="68"/>
      <c r="L489" s="68"/>
    </row>
    <row r="490" spans="1:12">
      <c r="A490" s="3"/>
      <c r="B490" s="66"/>
      <c r="C490" s="66"/>
      <c r="D490" s="66"/>
      <c r="E490" s="66"/>
      <c r="H490" s="3"/>
      <c r="I490" s="68"/>
      <c r="J490" s="68"/>
      <c r="K490" s="68"/>
      <c r="L490" s="68"/>
    </row>
    <row r="491" spans="1:12">
      <c r="A491" s="3"/>
      <c r="B491" s="66"/>
      <c r="C491" s="66"/>
      <c r="D491" s="66"/>
      <c r="E491" s="66"/>
      <c r="H491" s="3"/>
      <c r="I491" s="68"/>
      <c r="J491" s="68"/>
      <c r="K491" s="68"/>
      <c r="L491" s="68"/>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04"/>
  <sheetViews>
    <sheetView zoomScale="85" zoomScaleNormal="85" workbookViewId="0">
      <selection activeCell="O16" sqref="O16"/>
    </sheetView>
  </sheetViews>
  <sheetFormatPr defaultColWidth="9.07352941176471" defaultRowHeight="15" customHeight="1"/>
  <cols>
    <col min="1" max="1" width="30.9264705882353" style="31" customWidth="1"/>
    <col min="2" max="5" width="18.9264705882353" style="51" customWidth="1"/>
    <col min="7" max="7" width="30.9264705882353" style="31" customWidth="1"/>
    <col min="8" max="11" width="18.9264705882353" style="52" customWidth="1"/>
  </cols>
  <sheetData>
    <row r="1" ht="19.5" customHeight="1" spans="1:11">
      <c r="A1" s="69" t="s">
        <v>6</v>
      </c>
      <c r="B1" s="70" t="str">
        <f>基本信息!B1</f>
        <v>最新一期</v>
      </c>
      <c r="C1" s="70" t="str">
        <f>基本信息!C1</f>
        <v>20xx年</v>
      </c>
      <c r="D1" s="70" t="str">
        <f>基本信息!D1</f>
        <v>20xx年</v>
      </c>
      <c r="E1" s="70" t="str">
        <f>基本信息!E1</f>
        <v>20xx年</v>
      </c>
      <c r="G1" s="71" t="s">
        <v>7</v>
      </c>
      <c r="H1" s="72" t="str">
        <f>B1</f>
        <v>最新一期</v>
      </c>
      <c r="I1" s="72" t="str">
        <f>C1</f>
        <v>20xx年</v>
      </c>
      <c r="J1" s="72" t="str">
        <f>D1</f>
        <v>20xx年</v>
      </c>
      <c r="K1" s="72" t="str">
        <f>E1</f>
        <v>20xx年</v>
      </c>
    </row>
    <row r="2" ht="13.5" customHeight="1" spans="1:11">
      <c r="A2" s="73" t="s">
        <v>86</v>
      </c>
      <c r="B2" s="38">
        <f>B3</f>
        <v>0</v>
      </c>
      <c r="C2" s="38">
        <f>C3</f>
        <v>0</v>
      </c>
      <c r="D2" s="38">
        <f>D3</f>
        <v>0</v>
      </c>
      <c r="E2" s="38">
        <f>E3</f>
        <v>0</v>
      </c>
      <c r="F2" s="39"/>
      <c r="G2" s="74" t="s">
        <v>86</v>
      </c>
      <c r="H2" s="38">
        <f t="shared" ref="H2:H45" si="0">B2/10000</f>
        <v>0</v>
      </c>
      <c r="I2" s="38">
        <f t="shared" ref="I2:I45" si="1">C2/10000</f>
        <v>0</v>
      </c>
      <c r="J2" s="38">
        <f t="shared" ref="J2:J45" si="2">D2/10000</f>
        <v>0</v>
      </c>
      <c r="K2" s="38">
        <f t="shared" ref="K2:K45" si="3">E2/10000</f>
        <v>0</v>
      </c>
    </row>
    <row r="3" ht="13.5" customHeight="1" spans="1:11">
      <c r="A3" s="73" t="s">
        <v>87</v>
      </c>
      <c r="B3" s="38"/>
      <c r="C3" s="38"/>
      <c r="D3" s="38"/>
      <c r="E3" s="38"/>
      <c r="F3" s="39"/>
      <c r="G3" s="74" t="s">
        <v>87</v>
      </c>
      <c r="H3" s="38">
        <f t="shared" si="0"/>
        <v>0</v>
      </c>
      <c r="I3" s="38">
        <f t="shared" si="1"/>
        <v>0</v>
      </c>
      <c r="J3" s="38">
        <f t="shared" si="2"/>
        <v>0</v>
      </c>
      <c r="K3" s="38">
        <f t="shared" si="3"/>
        <v>0</v>
      </c>
    </row>
    <row r="4" ht="13.5" customHeight="1" spans="1:11">
      <c r="A4" s="73" t="s">
        <v>88</v>
      </c>
      <c r="B4" s="38">
        <f>SUM(B5:B10)</f>
        <v>0</v>
      </c>
      <c r="C4" s="38">
        <f>SUM(C5:C10)</f>
        <v>0</v>
      </c>
      <c r="D4" s="38">
        <f>SUM(D5:D10)</f>
        <v>0</v>
      </c>
      <c r="E4" s="38">
        <f>SUM(E5:E10)</f>
        <v>0</v>
      </c>
      <c r="F4" s="39"/>
      <c r="G4" s="74" t="s">
        <v>88</v>
      </c>
      <c r="H4" s="38">
        <f t="shared" si="0"/>
        <v>0</v>
      </c>
      <c r="I4" s="38">
        <f t="shared" si="1"/>
        <v>0</v>
      </c>
      <c r="J4" s="38">
        <f t="shared" si="2"/>
        <v>0</v>
      </c>
      <c r="K4" s="38">
        <f t="shared" si="3"/>
        <v>0</v>
      </c>
    </row>
    <row r="5" ht="13.5" customHeight="1" spans="1:11">
      <c r="A5" s="75" t="s">
        <v>89</v>
      </c>
      <c r="B5" s="38"/>
      <c r="C5" s="38"/>
      <c r="D5" s="38"/>
      <c r="E5" s="38"/>
      <c r="F5" s="39"/>
      <c r="G5" s="76" t="s">
        <v>89</v>
      </c>
      <c r="H5" s="38">
        <f t="shared" si="0"/>
        <v>0</v>
      </c>
      <c r="I5" s="38">
        <f t="shared" si="1"/>
        <v>0</v>
      </c>
      <c r="J5" s="38">
        <f t="shared" si="2"/>
        <v>0</v>
      </c>
      <c r="K5" s="38">
        <f t="shared" si="3"/>
        <v>0</v>
      </c>
    </row>
    <row r="6" ht="13.5" customHeight="1" spans="1:11">
      <c r="A6" s="75" t="s">
        <v>90</v>
      </c>
      <c r="B6" s="38"/>
      <c r="C6" s="38"/>
      <c r="D6" s="38"/>
      <c r="E6" s="38"/>
      <c r="F6" s="39"/>
      <c r="G6" s="76" t="s">
        <v>90</v>
      </c>
      <c r="H6" s="38">
        <f t="shared" si="0"/>
        <v>0</v>
      </c>
      <c r="I6" s="38">
        <f t="shared" si="1"/>
        <v>0</v>
      </c>
      <c r="J6" s="38">
        <f t="shared" si="2"/>
        <v>0</v>
      </c>
      <c r="K6" s="38">
        <f t="shared" si="3"/>
        <v>0</v>
      </c>
    </row>
    <row r="7" ht="13.5" customHeight="1" spans="1:11">
      <c r="A7" s="75" t="s">
        <v>91</v>
      </c>
      <c r="B7" s="38"/>
      <c r="C7" s="38"/>
      <c r="D7" s="38"/>
      <c r="E7" s="38"/>
      <c r="F7" s="39"/>
      <c r="G7" s="76" t="s">
        <v>91</v>
      </c>
      <c r="H7" s="38">
        <f t="shared" si="0"/>
        <v>0</v>
      </c>
      <c r="I7" s="38">
        <f t="shared" si="1"/>
        <v>0</v>
      </c>
      <c r="J7" s="38">
        <f t="shared" si="2"/>
        <v>0</v>
      </c>
      <c r="K7" s="38">
        <f t="shared" si="3"/>
        <v>0</v>
      </c>
    </row>
    <row r="8" ht="13.5" customHeight="1" spans="1:11">
      <c r="A8" s="75" t="s">
        <v>92</v>
      </c>
      <c r="B8" s="38"/>
      <c r="C8" s="38"/>
      <c r="D8" s="38"/>
      <c r="E8" s="38"/>
      <c r="F8" s="39"/>
      <c r="G8" s="76" t="s">
        <v>92</v>
      </c>
      <c r="H8" s="38">
        <f t="shared" si="0"/>
        <v>0</v>
      </c>
      <c r="I8" s="38">
        <f t="shared" si="1"/>
        <v>0</v>
      </c>
      <c r="J8" s="38">
        <f t="shared" si="2"/>
        <v>0</v>
      </c>
      <c r="K8" s="38">
        <f t="shared" si="3"/>
        <v>0</v>
      </c>
    </row>
    <row r="9" ht="13.5" customHeight="1" spans="1:11">
      <c r="A9" s="75" t="s">
        <v>93</v>
      </c>
      <c r="B9" s="38"/>
      <c r="C9" s="38"/>
      <c r="D9" s="38"/>
      <c r="E9" s="38"/>
      <c r="F9" s="39"/>
      <c r="G9" s="76" t="s">
        <v>93</v>
      </c>
      <c r="H9" s="38">
        <f t="shared" si="0"/>
        <v>0</v>
      </c>
      <c r="I9" s="38">
        <f t="shared" si="1"/>
        <v>0</v>
      </c>
      <c r="J9" s="38">
        <f t="shared" si="2"/>
        <v>0</v>
      </c>
      <c r="K9" s="38">
        <f t="shared" si="3"/>
        <v>0</v>
      </c>
    </row>
    <row r="10" ht="13.5" customHeight="1" spans="1:11">
      <c r="A10" s="75" t="s">
        <v>94</v>
      </c>
      <c r="B10" s="38"/>
      <c r="C10" s="38"/>
      <c r="D10" s="38"/>
      <c r="E10" s="38"/>
      <c r="F10" s="39"/>
      <c r="G10" s="76" t="s">
        <v>94</v>
      </c>
      <c r="H10" s="38">
        <f t="shared" si="0"/>
        <v>0</v>
      </c>
      <c r="I10" s="38">
        <f t="shared" si="1"/>
        <v>0</v>
      </c>
      <c r="J10" s="38">
        <f t="shared" si="2"/>
        <v>0</v>
      </c>
      <c r="K10" s="38">
        <f t="shared" si="3"/>
        <v>0</v>
      </c>
    </row>
    <row r="11" ht="13.5" customHeight="1" spans="1:11">
      <c r="A11" s="75" t="s">
        <v>95</v>
      </c>
      <c r="B11" s="38"/>
      <c r="C11" s="38"/>
      <c r="D11" s="38"/>
      <c r="E11" s="38"/>
      <c r="F11" s="39"/>
      <c r="G11" s="76" t="s">
        <v>95</v>
      </c>
      <c r="H11" s="38">
        <f t="shared" si="0"/>
        <v>0</v>
      </c>
      <c r="I11" s="38">
        <f t="shared" si="1"/>
        <v>0</v>
      </c>
      <c r="J11" s="38">
        <f t="shared" si="2"/>
        <v>0</v>
      </c>
      <c r="K11" s="38">
        <f t="shared" si="3"/>
        <v>0</v>
      </c>
    </row>
    <row r="12" ht="13.5" customHeight="1" spans="1:11">
      <c r="A12" s="75" t="s">
        <v>96</v>
      </c>
      <c r="B12" s="38"/>
      <c r="C12" s="38"/>
      <c r="D12" s="38"/>
      <c r="E12" s="38"/>
      <c r="F12" s="39"/>
      <c r="G12" s="76" t="s">
        <v>96</v>
      </c>
      <c r="H12" s="38">
        <f t="shared" si="0"/>
        <v>0</v>
      </c>
      <c r="I12" s="38">
        <f t="shared" si="1"/>
        <v>0</v>
      </c>
      <c r="J12" s="38">
        <f t="shared" si="2"/>
        <v>0</v>
      </c>
      <c r="K12" s="38">
        <f t="shared" si="3"/>
        <v>0</v>
      </c>
    </row>
    <row r="13" ht="27.75" customHeight="1" spans="1:11">
      <c r="A13" s="75" t="s">
        <v>97</v>
      </c>
      <c r="B13" s="38"/>
      <c r="C13" s="38"/>
      <c r="D13" s="38"/>
      <c r="E13" s="38"/>
      <c r="F13" s="39"/>
      <c r="G13" s="76" t="s">
        <v>97</v>
      </c>
      <c r="H13" s="38">
        <f t="shared" si="0"/>
        <v>0</v>
      </c>
      <c r="I13" s="38">
        <f t="shared" si="1"/>
        <v>0</v>
      </c>
      <c r="J13" s="38">
        <f t="shared" si="2"/>
        <v>0</v>
      </c>
      <c r="K13" s="38">
        <f t="shared" si="3"/>
        <v>0</v>
      </c>
    </row>
    <row r="14" ht="27.75" customHeight="1" spans="1:11">
      <c r="A14" s="77" t="s">
        <v>98</v>
      </c>
      <c r="B14" s="38"/>
      <c r="C14" s="38"/>
      <c r="D14" s="38"/>
      <c r="E14" s="38"/>
      <c r="F14" s="39"/>
      <c r="G14" s="78" t="s">
        <v>98</v>
      </c>
      <c r="H14" s="38">
        <f t="shared" si="0"/>
        <v>0</v>
      </c>
      <c r="I14" s="38">
        <f t="shared" si="1"/>
        <v>0</v>
      </c>
      <c r="J14" s="38">
        <f t="shared" si="2"/>
        <v>0</v>
      </c>
      <c r="K14" s="38">
        <f t="shared" si="3"/>
        <v>0</v>
      </c>
    </row>
    <row r="15" ht="27.75" customHeight="1" spans="1:11">
      <c r="A15" s="75" t="s">
        <v>99</v>
      </c>
      <c r="B15" s="38"/>
      <c r="C15" s="38"/>
      <c r="D15" s="38"/>
      <c r="E15" s="38"/>
      <c r="F15" s="39"/>
      <c r="G15" s="76" t="s">
        <v>99</v>
      </c>
      <c r="H15" s="38">
        <f t="shared" si="0"/>
        <v>0</v>
      </c>
      <c r="I15" s="38">
        <f t="shared" si="1"/>
        <v>0</v>
      </c>
      <c r="J15" s="38">
        <f t="shared" si="2"/>
        <v>0</v>
      </c>
      <c r="K15" s="38">
        <f t="shared" si="3"/>
        <v>0</v>
      </c>
    </row>
    <row r="16" ht="27.75" customHeight="1" spans="1:11">
      <c r="A16" s="75" t="s">
        <v>100</v>
      </c>
      <c r="B16" s="38"/>
      <c r="C16" s="38"/>
      <c r="D16" s="38"/>
      <c r="E16" s="38"/>
      <c r="F16" s="39"/>
      <c r="G16" s="76" t="s">
        <v>100</v>
      </c>
      <c r="H16" s="38">
        <f t="shared" si="0"/>
        <v>0</v>
      </c>
      <c r="I16" s="38">
        <f t="shared" si="1"/>
        <v>0</v>
      </c>
      <c r="J16" s="38">
        <f t="shared" si="2"/>
        <v>0</v>
      </c>
      <c r="K16" s="38">
        <f t="shared" si="3"/>
        <v>0</v>
      </c>
    </row>
    <row r="17" ht="27.75" customHeight="1" spans="1:11">
      <c r="A17" s="75" t="s">
        <v>101</v>
      </c>
      <c r="B17" s="38"/>
      <c r="C17" s="38"/>
      <c r="D17" s="38"/>
      <c r="E17" s="38"/>
      <c r="F17" s="39"/>
      <c r="G17" s="76" t="s">
        <v>101</v>
      </c>
      <c r="H17" s="38">
        <f t="shared" si="0"/>
        <v>0</v>
      </c>
      <c r="I17" s="38">
        <f t="shared" si="1"/>
        <v>0</v>
      </c>
      <c r="J17" s="38">
        <f t="shared" si="2"/>
        <v>0</v>
      </c>
      <c r="K17" s="38">
        <f t="shared" si="3"/>
        <v>0</v>
      </c>
    </row>
    <row r="18" ht="27.75" customHeight="1" spans="1:11">
      <c r="A18" s="75" t="s">
        <v>102</v>
      </c>
      <c r="B18" s="38"/>
      <c r="C18" s="38"/>
      <c r="D18" s="38"/>
      <c r="E18" s="38"/>
      <c r="F18" s="39"/>
      <c r="G18" s="76" t="s">
        <v>102</v>
      </c>
      <c r="H18" s="38">
        <f t="shared" si="0"/>
        <v>0</v>
      </c>
      <c r="I18" s="38">
        <f t="shared" si="1"/>
        <v>0</v>
      </c>
      <c r="J18" s="38">
        <f t="shared" si="2"/>
        <v>0</v>
      </c>
      <c r="K18" s="38">
        <f t="shared" si="3"/>
        <v>0</v>
      </c>
    </row>
    <row r="19" ht="27.75" customHeight="1" spans="1:11">
      <c r="A19" s="75" t="s">
        <v>103</v>
      </c>
      <c r="B19" s="38"/>
      <c r="C19" s="38"/>
      <c r="D19" s="38"/>
      <c r="E19" s="38"/>
      <c r="F19" s="39"/>
      <c r="G19" s="76" t="s">
        <v>103</v>
      </c>
      <c r="H19" s="38">
        <f t="shared" si="0"/>
        <v>0</v>
      </c>
      <c r="I19" s="38">
        <f t="shared" si="1"/>
        <v>0</v>
      </c>
      <c r="J19" s="38">
        <f t="shared" si="2"/>
        <v>0</v>
      </c>
      <c r="K19" s="38">
        <f t="shared" si="3"/>
        <v>0</v>
      </c>
    </row>
    <row r="20" ht="27.75" customHeight="1" spans="1:11">
      <c r="A20" s="75" t="s">
        <v>104</v>
      </c>
      <c r="B20" s="38"/>
      <c r="C20" s="38"/>
      <c r="D20" s="38"/>
      <c r="E20" s="38"/>
      <c r="F20" s="39"/>
      <c r="G20" s="76" t="s">
        <v>104</v>
      </c>
      <c r="H20" s="38">
        <f t="shared" si="0"/>
        <v>0</v>
      </c>
      <c r="I20" s="38">
        <f t="shared" si="1"/>
        <v>0</v>
      </c>
      <c r="J20" s="38">
        <f t="shared" si="2"/>
        <v>0</v>
      </c>
      <c r="K20" s="38">
        <f t="shared" si="3"/>
        <v>0</v>
      </c>
    </row>
    <row r="21" ht="13.5" customHeight="1" spans="1:11">
      <c r="A21" s="75" t="s">
        <v>105</v>
      </c>
      <c r="B21" s="38"/>
      <c r="C21" s="38"/>
      <c r="D21" s="38"/>
      <c r="E21" s="38"/>
      <c r="F21" s="39"/>
      <c r="G21" s="76" t="s">
        <v>105</v>
      </c>
      <c r="H21" s="38">
        <f t="shared" si="0"/>
        <v>0</v>
      </c>
      <c r="I21" s="38">
        <f t="shared" si="1"/>
        <v>0</v>
      </c>
      <c r="J21" s="38">
        <f t="shared" si="2"/>
        <v>0</v>
      </c>
      <c r="K21" s="38">
        <f t="shared" si="3"/>
        <v>0</v>
      </c>
    </row>
    <row r="22" ht="13.5" customHeight="1" spans="1:11">
      <c r="A22" s="73" t="s">
        <v>106</v>
      </c>
      <c r="B22" s="79">
        <f>B2-B4+SUM(B13:B14,B17:B21)</f>
        <v>0</v>
      </c>
      <c r="C22" s="79">
        <f>C2-C4+SUM(C13:C14,C17:C21)</f>
        <v>0</v>
      </c>
      <c r="D22" s="79">
        <f>D2-D4+SUM(D13:D14,D17:D21)</f>
        <v>0</v>
      </c>
      <c r="E22" s="79">
        <f>E2-E4+SUM(E13:E14,E17:E21)</f>
        <v>0</v>
      </c>
      <c r="F22" s="39"/>
      <c r="G22" s="74" t="s">
        <v>106</v>
      </c>
      <c r="H22" s="79">
        <f t="shared" si="0"/>
        <v>0</v>
      </c>
      <c r="I22" s="79">
        <f t="shared" si="1"/>
        <v>0</v>
      </c>
      <c r="J22" s="79">
        <f t="shared" si="2"/>
        <v>0</v>
      </c>
      <c r="K22" s="79">
        <f t="shared" si="3"/>
        <v>0</v>
      </c>
    </row>
    <row r="23" ht="27.75" customHeight="1" spans="1:11">
      <c r="A23" s="76" t="s">
        <v>107</v>
      </c>
      <c r="B23" s="38"/>
      <c r="C23" s="38"/>
      <c r="D23" s="38"/>
      <c r="E23" s="38"/>
      <c r="F23" s="39"/>
      <c r="G23" s="76" t="s">
        <v>107</v>
      </c>
      <c r="H23" s="38">
        <f t="shared" si="0"/>
        <v>0</v>
      </c>
      <c r="I23" s="38">
        <f t="shared" si="1"/>
        <v>0</v>
      </c>
      <c r="J23" s="38">
        <f t="shared" si="2"/>
        <v>0</v>
      </c>
      <c r="K23" s="38">
        <f t="shared" si="3"/>
        <v>0</v>
      </c>
    </row>
    <row r="24" ht="13.5" customHeight="1" spans="1:11">
      <c r="A24" s="76" t="s">
        <v>108</v>
      </c>
      <c r="B24" s="38"/>
      <c r="C24" s="38"/>
      <c r="D24" s="38"/>
      <c r="E24" s="38"/>
      <c r="F24" s="39"/>
      <c r="G24" s="76" t="s">
        <v>108</v>
      </c>
      <c r="H24" s="38">
        <f t="shared" si="0"/>
        <v>0</v>
      </c>
      <c r="I24" s="38">
        <f t="shared" si="1"/>
        <v>0</v>
      </c>
      <c r="J24" s="38">
        <f t="shared" si="2"/>
        <v>0</v>
      </c>
      <c r="K24" s="38">
        <f t="shared" si="3"/>
        <v>0</v>
      </c>
    </row>
    <row r="25" ht="27.75" customHeight="1" spans="1:11">
      <c r="A25" s="74" t="s">
        <v>109</v>
      </c>
      <c r="B25" s="79">
        <f>B22+B23-B24</f>
        <v>0</v>
      </c>
      <c r="C25" s="79">
        <f>C22+C23-C24</f>
        <v>0</v>
      </c>
      <c r="D25" s="79">
        <f>D22+D23-D24</f>
        <v>0</v>
      </c>
      <c r="E25" s="79">
        <f>E22+E23-E24</f>
        <v>0</v>
      </c>
      <c r="F25" s="39"/>
      <c r="G25" s="74" t="s">
        <v>109</v>
      </c>
      <c r="H25" s="79">
        <f t="shared" si="0"/>
        <v>0</v>
      </c>
      <c r="I25" s="79">
        <f t="shared" si="1"/>
        <v>0</v>
      </c>
      <c r="J25" s="79">
        <f t="shared" si="2"/>
        <v>0</v>
      </c>
      <c r="K25" s="79">
        <f t="shared" si="3"/>
        <v>0</v>
      </c>
    </row>
    <row r="26" ht="27.75" customHeight="1" spans="1:11">
      <c r="A26" s="76" t="s">
        <v>110</v>
      </c>
      <c r="B26" s="38"/>
      <c r="C26" s="38"/>
      <c r="D26" s="38"/>
      <c r="E26" s="38"/>
      <c r="F26" s="39"/>
      <c r="G26" s="76" t="s">
        <v>110</v>
      </c>
      <c r="H26" s="38">
        <f t="shared" si="0"/>
        <v>0</v>
      </c>
      <c r="I26" s="38">
        <f t="shared" si="1"/>
        <v>0</v>
      </c>
      <c r="J26" s="38">
        <f t="shared" si="2"/>
        <v>0</v>
      </c>
      <c r="K26" s="38">
        <f t="shared" si="3"/>
        <v>0</v>
      </c>
    </row>
    <row r="27" ht="27.75" customHeight="1" spans="1:11">
      <c r="A27" s="74" t="s">
        <v>111</v>
      </c>
      <c r="B27" s="79">
        <f>B25-B26</f>
        <v>0</v>
      </c>
      <c r="C27" s="79">
        <f>C25-C26</f>
        <v>0</v>
      </c>
      <c r="D27" s="79">
        <f>D25-D26</f>
        <v>0</v>
      </c>
      <c r="E27" s="79">
        <f>E25-E26</f>
        <v>0</v>
      </c>
      <c r="F27" s="39"/>
      <c r="G27" s="74" t="s">
        <v>111</v>
      </c>
      <c r="H27" s="79">
        <f t="shared" si="0"/>
        <v>0</v>
      </c>
      <c r="I27" s="79">
        <f t="shared" si="1"/>
        <v>0</v>
      </c>
      <c r="J27" s="79">
        <f t="shared" si="2"/>
        <v>0</v>
      </c>
      <c r="K27" s="79">
        <f t="shared" si="3"/>
        <v>0</v>
      </c>
    </row>
    <row r="28" ht="13.5" customHeight="1" spans="1:11">
      <c r="A28" s="76" t="s">
        <v>112</v>
      </c>
      <c r="B28" s="38"/>
      <c r="C28" s="38"/>
      <c r="D28" s="38"/>
      <c r="E28" s="38"/>
      <c r="F28" s="39"/>
      <c r="G28" s="76" t="s">
        <v>112</v>
      </c>
      <c r="H28" s="38">
        <f t="shared" si="0"/>
        <v>0</v>
      </c>
      <c r="I28" s="38">
        <f t="shared" si="1"/>
        <v>0</v>
      </c>
      <c r="J28" s="38">
        <f t="shared" si="2"/>
        <v>0</v>
      </c>
      <c r="K28" s="38">
        <f t="shared" si="3"/>
        <v>0</v>
      </c>
    </row>
    <row r="29" ht="27.75" customHeight="1" spans="1:11">
      <c r="A29" s="76" t="s">
        <v>113</v>
      </c>
      <c r="B29" s="38">
        <v>0</v>
      </c>
      <c r="C29" s="38">
        <v>0</v>
      </c>
      <c r="D29" s="38">
        <v>0</v>
      </c>
      <c r="E29" s="38">
        <v>0</v>
      </c>
      <c r="F29" s="39"/>
      <c r="G29" s="76" t="s">
        <v>113</v>
      </c>
      <c r="H29" s="38">
        <f t="shared" si="0"/>
        <v>0</v>
      </c>
      <c r="I29" s="38">
        <f t="shared" si="1"/>
        <v>0</v>
      </c>
      <c r="J29" s="38">
        <f t="shared" si="2"/>
        <v>0</v>
      </c>
      <c r="K29" s="38">
        <f t="shared" si="3"/>
        <v>0</v>
      </c>
    </row>
    <row r="30" ht="13.5" customHeight="1" spans="1:11">
      <c r="A30" s="76" t="s">
        <v>114</v>
      </c>
      <c r="B30" s="38"/>
      <c r="C30" s="38"/>
      <c r="D30" s="38"/>
      <c r="E30" s="38"/>
      <c r="F30" s="39"/>
      <c r="G30" s="76" t="s">
        <v>114</v>
      </c>
      <c r="H30" s="38">
        <f t="shared" si="0"/>
        <v>0</v>
      </c>
      <c r="I30" s="38">
        <f t="shared" si="1"/>
        <v>0</v>
      </c>
      <c r="J30" s="38">
        <f t="shared" si="2"/>
        <v>0</v>
      </c>
      <c r="K30" s="38">
        <f t="shared" si="3"/>
        <v>0</v>
      </c>
    </row>
    <row r="31" ht="27.75" customHeight="1" spans="1:11">
      <c r="A31" s="76" t="s">
        <v>115</v>
      </c>
      <c r="B31" s="38"/>
      <c r="C31" s="38"/>
      <c r="D31" s="38"/>
      <c r="E31" s="38"/>
      <c r="F31" s="39"/>
      <c r="G31" s="76" t="s">
        <v>115</v>
      </c>
      <c r="H31" s="38">
        <f t="shared" si="0"/>
        <v>0</v>
      </c>
      <c r="I31" s="38">
        <f t="shared" si="1"/>
        <v>0</v>
      </c>
      <c r="J31" s="38">
        <f t="shared" si="2"/>
        <v>0</v>
      </c>
      <c r="K31" s="38">
        <f t="shared" si="3"/>
        <v>0</v>
      </c>
    </row>
    <row r="32" ht="13.5" customHeight="1" spans="1:11">
      <c r="A32" s="74" t="s">
        <v>116</v>
      </c>
      <c r="B32" s="38">
        <v>0</v>
      </c>
      <c r="C32" s="38">
        <v>0</v>
      </c>
      <c r="D32" s="38">
        <v>0</v>
      </c>
      <c r="E32" s="38">
        <v>0</v>
      </c>
      <c r="F32" s="39"/>
      <c r="G32" s="74" t="s">
        <v>116</v>
      </c>
      <c r="H32" s="38">
        <f t="shared" si="0"/>
        <v>0</v>
      </c>
      <c r="I32" s="38">
        <f t="shared" si="1"/>
        <v>0</v>
      </c>
      <c r="J32" s="38">
        <f t="shared" si="2"/>
        <v>0</v>
      </c>
      <c r="K32" s="38">
        <f t="shared" si="3"/>
        <v>0</v>
      </c>
    </row>
    <row r="33" ht="13.5" customHeight="1" spans="1:11">
      <c r="A33" s="76" t="s">
        <v>117</v>
      </c>
      <c r="B33" s="38">
        <v>0</v>
      </c>
      <c r="C33" s="38">
        <v>0</v>
      </c>
      <c r="D33" s="38">
        <v>0</v>
      </c>
      <c r="E33" s="38">
        <v>0</v>
      </c>
      <c r="F33" s="39"/>
      <c r="G33" s="76" t="s">
        <v>117</v>
      </c>
      <c r="H33" s="38">
        <f t="shared" si="0"/>
        <v>0</v>
      </c>
      <c r="I33" s="38">
        <f t="shared" si="1"/>
        <v>0</v>
      </c>
      <c r="J33" s="38">
        <f t="shared" si="2"/>
        <v>0</v>
      </c>
      <c r="K33" s="38">
        <f t="shared" si="3"/>
        <v>0</v>
      </c>
    </row>
    <row r="34" ht="27.75" customHeight="1" spans="1:11">
      <c r="A34" s="76" t="s">
        <v>118</v>
      </c>
      <c r="B34" s="38">
        <v>0</v>
      </c>
      <c r="C34" s="38">
        <v>0</v>
      </c>
      <c r="D34" s="38">
        <v>0</v>
      </c>
      <c r="E34" s="38">
        <v>0</v>
      </c>
      <c r="F34" s="39"/>
      <c r="G34" s="76" t="s">
        <v>118</v>
      </c>
      <c r="H34" s="38">
        <f t="shared" si="0"/>
        <v>0</v>
      </c>
      <c r="I34" s="38">
        <f t="shared" si="1"/>
        <v>0</v>
      </c>
      <c r="J34" s="38">
        <f t="shared" si="2"/>
        <v>0</v>
      </c>
      <c r="K34" s="38">
        <f t="shared" si="3"/>
        <v>0</v>
      </c>
    </row>
    <row r="35" ht="27.75" customHeight="1" spans="1:11">
      <c r="A35" s="76" t="s">
        <v>119</v>
      </c>
      <c r="B35" s="38">
        <v>0</v>
      </c>
      <c r="C35" s="38">
        <v>0</v>
      </c>
      <c r="D35" s="38">
        <v>0</v>
      </c>
      <c r="E35" s="38">
        <v>0</v>
      </c>
      <c r="F35" s="39"/>
      <c r="G35" s="76" t="s">
        <v>119</v>
      </c>
      <c r="H35" s="38">
        <f t="shared" si="0"/>
        <v>0</v>
      </c>
      <c r="I35" s="38">
        <f t="shared" si="1"/>
        <v>0</v>
      </c>
      <c r="J35" s="38">
        <f t="shared" si="2"/>
        <v>0</v>
      </c>
      <c r="K35" s="38">
        <f t="shared" si="3"/>
        <v>0</v>
      </c>
    </row>
    <row r="36" ht="13.5" customHeight="1" spans="1:11">
      <c r="A36" s="76" t="s">
        <v>120</v>
      </c>
      <c r="B36" s="38">
        <v>0</v>
      </c>
      <c r="C36" s="38">
        <v>0</v>
      </c>
      <c r="D36" s="38">
        <v>0</v>
      </c>
      <c r="E36" s="38">
        <v>0</v>
      </c>
      <c r="F36" s="39"/>
      <c r="G36" s="76" t="s">
        <v>120</v>
      </c>
      <c r="H36" s="38">
        <f t="shared" si="0"/>
        <v>0</v>
      </c>
      <c r="I36" s="38">
        <f t="shared" si="1"/>
        <v>0</v>
      </c>
      <c r="J36" s="38">
        <f t="shared" si="2"/>
        <v>0</v>
      </c>
      <c r="K36" s="38">
        <f t="shared" si="3"/>
        <v>0</v>
      </c>
    </row>
    <row r="37" ht="27.75" customHeight="1" spans="1:11">
      <c r="A37" s="76" t="s">
        <v>121</v>
      </c>
      <c r="B37" s="38">
        <v>0</v>
      </c>
      <c r="C37" s="38">
        <v>0</v>
      </c>
      <c r="D37" s="38">
        <v>0</v>
      </c>
      <c r="E37" s="38">
        <v>0</v>
      </c>
      <c r="F37" s="39"/>
      <c r="G37" s="76" t="s">
        <v>121</v>
      </c>
      <c r="H37" s="38">
        <f t="shared" si="0"/>
        <v>0</v>
      </c>
      <c r="I37" s="38">
        <f t="shared" si="1"/>
        <v>0</v>
      </c>
      <c r="J37" s="38">
        <f t="shared" si="2"/>
        <v>0</v>
      </c>
      <c r="K37" s="38">
        <f t="shared" si="3"/>
        <v>0</v>
      </c>
    </row>
    <row r="38" ht="13.5" customHeight="1" spans="1:11">
      <c r="A38" s="76" t="s">
        <v>122</v>
      </c>
      <c r="B38" s="38">
        <v>0</v>
      </c>
      <c r="C38" s="38">
        <v>0</v>
      </c>
      <c r="D38" s="38">
        <v>0</v>
      </c>
      <c r="E38" s="38">
        <v>0</v>
      </c>
      <c r="F38" s="39"/>
      <c r="G38" s="76" t="s">
        <v>122</v>
      </c>
      <c r="H38" s="38">
        <f t="shared" si="0"/>
        <v>0</v>
      </c>
      <c r="I38" s="38">
        <f t="shared" si="1"/>
        <v>0</v>
      </c>
      <c r="J38" s="38">
        <f t="shared" si="2"/>
        <v>0</v>
      </c>
      <c r="K38" s="38">
        <f t="shared" si="3"/>
        <v>0</v>
      </c>
    </row>
    <row r="39" ht="13.5" customHeight="1" spans="1:11">
      <c r="A39" s="76" t="s">
        <v>123</v>
      </c>
      <c r="B39" s="38">
        <v>0</v>
      </c>
      <c r="C39" s="38">
        <v>0</v>
      </c>
      <c r="D39" s="38">
        <v>0</v>
      </c>
      <c r="E39" s="38">
        <v>0</v>
      </c>
      <c r="F39" s="39"/>
      <c r="G39" s="76" t="s">
        <v>123</v>
      </c>
      <c r="H39" s="38">
        <f t="shared" si="0"/>
        <v>0</v>
      </c>
      <c r="I39" s="38">
        <f t="shared" si="1"/>
        <v>0</v>
      </c>
      <c r="J39" s="38">
        <f t="shared" si="2"/>
        <v>0</v>
      </c>
      <c r="K39" s="38">
        <f t="shared" si="3"/>
        <v>0</v>
      </c>
    </row>
    <row r="40" ht="13.5" customHeight="1" spans="1:11">
      <c r="A40" s="76" t="s">
        <v>124</v>
      </c>
      <c r="B40" s="38">
        <v>0</v>
      </c>
      <c r="C40" s="38">
        <v>0</v>
      </c>
      <c r="D40" s="38">
        <v>0</v>
      </c>
      <c r="E40" s="38">
        <v>0</v>
      </c>
      <c r="F40" s="39"/>
      <c r="G40" s="76" t="s">
        <v>124</v>
      </c>
      <c r="H40" s="38">
        <f t="shared" si="0"/>
        <v>0</v>
      </c>
      <c r="I40" s="38">
        <f t="shared" si="1"/>
        <v>0</v>
      </c>
      <c r="J40" s="38">
        <f t="shared" si="2"/>
        <v>0</v>
      </c>
      <c r="K40" s="38">
        <f t="shared" si="3"/>
        <v>0</v>
      </c>
    </row>
    <row r="41" ht="13.5" customHeight="1" spans="1:11">
      <c r="A41" s="76" t="s">
        <v>125</v>
      </c>
      <c r="B41" s="38">
        <v>0</v>
      </c>
      <c r="C41" s="38">
        <v>0</v>
      </c>
      <c r="D41" s="38">
        <v>0</v>
      </c>
      <c r="E41" s="38">
        <v>0</v>
      </c>
      <c r="F41" s="39"/>
      <c r="G41" s="76" t="s">
        <v>125</v>
      </c>
      <c r="H41" s="38">
        <f t="shared" si="0"/>
        <v>0</v>
      </c>
      <c r="I41" s="38">
        <f t="shared" si="1"/>
        <v>0</v>
      </c>
      <c r="J41" s="38">
        <f t="shared" si="2"/>
        <v>0</v>
      </c>
      <c r="K41" s="38">
        <f t="shared" si="3"/>
        <v>0</v>
      </c>
    </row>
    <row r="42" ht="13.5" customHeight="1" spans="1:11">
      <c r="A42" s="76" t="s">
        <v>126</v>
      </c>
      <c r="B42" s="38">
        <v>0</v>
      </c>
      <c r="C42" s="38">
        <v>0</v>
      </c>
      <c r="D42" s="38">
        <v>0</v>
      </c>
      <c r="E42" s="38">
        <v>0</v>
      </c>
      <c r="F42" s="39"/>
      <c r="G42" s="76" t="s">
        <v>126</v>
      </c>
      <c r="H42" s="38">
        <f t="shared" si="0"/>
        <v>0</v>
      </c>
      <c r="I42" s="38">
        <f t="shared" si="1"/>
        <v>0</v>
      </c>
      <c r="J42" s="38">
        <f t="shared" si="2"/>
        <v>0</v>
      </c>
      <c r="K42" s="38">
        <f t="shared" si="3"/>
        <v>0</v>
      </c>
    </row>
    <row r="43" ht="13.5" customHeight="1" spans="1:11">
      <c r="A43" s="76" t="s">
        <v>127</v>
      </c>
      <c r="B43" s="38">
        <v>0</v>
      </c>
      <c r="C43" s="38">
        <v>0</v>
      </c>
      <c r="D43" s="38">
        <v>0</v>
      </c>
      <c r="E43" s="38">
        <v>0</v>
      </c>
      <c r="F43" s="39"/>
      <c r="G43" s="76" t="s">
        <v>127</v>
      </c>
      <c r="H43" s="38">
        <f t="shared" si="0"/>
        <v>0</v>
      </c>
      <c r="I43" s="38">
        <f t="shared" si="1"/>
        <v>0</v>
      </c>
      <c r="J43" s="38">
        <f t="shared" si="2"/>
        <v>0</v>
      </c>
      <c r="K43" s="38">
        <f t="shared" si="3"/>
        <v>0</v>
      </c>
    </row>
    <row r="44" ht="13.5" customHeight="1" spans="1:11">
      <c r="A44" s="76" t="s">
        <v>128</v>
      </c>
      <c r="B44" s="38">
        <v>0</v>
      </c>
      <c r="C44" s="38">
        <v>0</v>
      </c>
      <c r="D44" s="38">
        <v>0</v>
      </c>
      <c r="E44" s="38">
        <v>0</v>
      </c>
      <c r="F44" s="39"/>
      <c r="G44" s="76" t="s">
        <v>128</v>
      </c>
      <c r="H44" s="38">
        <f t="shared" si="0"/>
        <v>0</v>
      </c>
      <c r="I44" s="38">
        <f t="shared" si="1"/>
        <v>0</v>
      </c>
      <c r="J44" s="38">
        <f t="shared" si="2"/>
        <v>0</v>
      </c>
      <c r="K44" s="38">
        <f t="shared" si="3"/>
        <v>0</v>
      </c>
    </row>
    <row r="45" ht="13.5" customHeight="1" spans="1:11">
      <c r="A45" s="74" t="s">
        <v>129</v>
      </c>
      <c r="B45" s="79">
        <f>B27+B32</f>
        <v>0</v>
      </c>
      <c r="C45" s="79">
        <f>C27+C32</f>
        <v>0</v>
      </c>
      <c r="D45" s="79">
        <f>D27+D32</f>
        <v>0</v>
      </c>
      <c r="E45" s="79">
        <f>E27+E32</f>
        <v>0</v>
      </c>
      <c r="F45" s="39"/>
      <c r="G45" s="74" t="s">
        <v>129</v>
      </c>
      <c r="H45" s="79">
        <f t="shared" si="0"/>
        <v>0</v>
      </c>
      <c r="I45" s="79">
        <f t="shared" si="1"/>
        <v>0</v>
      </c>
      <c r="J45" s="79">
        <f t="shared" si="2"/>
        <v>0</v>
      </c>
      <c r="K45" s="79">
        <f t="shared" si="3"/>
        <v>0</v>
      </c>
    </row>
    <row r="46" ht="13.5" customHeight="1" spans="1:11">
      <c r="A46" s="74" t="s">
        <v>130</v>
      </c>
      <c r="B46" s="79">
        <v>0</v>
      </c>
      <c r="C46" s="79">
        <v>0</v>
      </c>
      <c r="D46" s="79">
        <v>0</v>
      </c>
      <c r="E46" s="79">
        <v>0</v>
      </c>
      <c r="F46" s="39"/>
      <c r="G46" s="74" t="s">
        <v>130</v>
      </c>
      <c r="H46" s="79">
        <f>B46</f>
        <v>0</v>
      </c>
      <c r="I46" s="79">
        <f>C46</f>
        <v>0</v>
      </c>
      <c r="J46" s="79">
        <f>D46</f>
        <v>0</v>
      </c>
      <c r="K46" s="79">
        <f>E46</f>
        <v>0</v>
      </c>
    </row>
    <row r="47" ht="13.5" customHeight="1" spans="1:11">
      <c r="A47" s="76" t="s">
        <v>131</v>
      </c>
      <c r="B47" s="79">
        <v>0</v>
      </c>
      <c r="C47" s="79">
        <v>0</v>
      </c>
      <c r="D47" s="79">
        <v>0</v>
      </c>
      <c r="E47" s="79">
        <v>0</v>
      </c>
      <c r="F47" s="39"/>
      <c r="G47" s="76" t="s">
        <v>131</v>
      </c>
      <c r="H47" s="79">
        <f>B47</f>
        <v>0</v>
      </c>
      <c r="I47" s="79">
        <f>C47</f>
        <v>0</v>
      </c>
      <c r="J47" s="79">
        <f>D47</f>
        <v>0</v>
      </c>
      <c r="K47" s="79">
        <f>E47</f>
        <v>0</v>
      </c>
    </row>
    <row r="48" ht="13.5" customHeight="1" spans="1:11">
      <c r="A48" s="76" t="s">
        <v>132</v>
      </c>
      <c r="B48" s="79">
        <v>0</v>
      </c>
      <c r="C48" s="79">
        <v>0</v>
      </c>
      <c r="D48" s="79">
        <v>0</v>
      </c>
      <c r="E48" s="79">
        <v>0</v>
      </c>
      <c r="F48" s="39"/>
      <c r="G48" s="76" t="s">
        <v>132</v>
      </c>
      <c r="H48" s="79">
        <f>B48</f>
        <v>0</v>
      </c>
      <c r="I48" s="79">
        <f>C48</f>
        <v>0</v>
      </c>
      <c r="J48" s="79">
        <f>D48</f>
        <v>0</v>
      </c>
      <c r="K48" s="79">
        <f>E48</f>
        <v>0</v>
      </c>
    </row>
    <row r="49" ht="13.5" customHeight="1" spans="1:11">
      <c r="A49" s="65"/>
      <c r="B49" s="67"/>
      <c r="C49" s="67"/>
      <c r="D49" s="67"/>
      <c r="E49" s="67"/>
      <c r="G49" s="3"/>
      <c r="H49" s="68"/>
      <c r="I49" s="68"/>
      <c r="J49" s="68"/>
      <c r="K49" s="68"/>
    </row>
    <row r="50" ht="13.5" customHeight="1" spans="1:11">
      <c r="A50" s="3"/>
      <c r="B50" s="66"/>
      <c r="C50" s="66"/>
      <c r="D50" s="66"/>
      <c r="E50" s="66"/>
      <c r="G50" s="3"/>
      <c r="H50" s="68"/>
      <c r="I50" s="68"/>
      <c r="J50" s="68"/>
      <c r="K50" s="68"/>
    </row>
    <row r="51" ht="13.5" customHeight="1" spans="1:11">
      <c r="A51" s="3"/>
      <c r="B51" s="66"/>
      <c r="C51" s="66"/>
      <c r="D51" s="66"/>
      <c r="E51" s="66"/>
      <c r="G51" s="3"/>
      <c r="H51" s="68"/>
      <c r="I51" s="68"/>
      <c r="J51" s="68"/>
      <c r="K51" s="68"/>
    </row>
    <row r="52" ht="13.5" customHeight="1" spans="1:11">
      <c r="A52" s="3"/>
      <c r="B52" s="66"/>
      <c r="C52" s="66"/>
      <c r="D52" s="66"/>
      <c r="E52" s="66"/>
      <c r="G52" s="3"/>
      <c r="H52" s="68"/>
      <c r="I52" s="68"/>
      <c r="J52" s="68"/>
      <c r="K52" s="68"/>
    </row>
    <row r="53" ht="13.5" customHeight="1" spans="1:11">
      <c r="A53" s="3"/>
      <c r="B53" s="66"/>
      <c r="C53" s="66"/>
      <c r="D53" s="66"/>
      <c r="E53" s="66"/>
      <c r="G53" s="3"/>
      <c r="H53" s="68"/>
      <c r="I53" s="68"/>
      <c r="J53" s="68"/>
      <c r="K53" s="68"/>
    </row>
    <row r="54" ht="13.5" customHeight="1" spans="1:11">
      <c r="A54" s="3"/>
      <c r="B54" s="66"/>
      <c r="C54" s="66"/>
      <c r="D54" s="66"/>
      <c r="E54" s="66"/>
      <c r="G54" s="3"/>
      <c r="H54" s="68"/>
      <c r="I54" s="68"/>
      <c r="J54" s="68"/>
      <c r="K54" s="68"/>
    </row>
    <row r="55" ht="13.5" customHeight="1" spans="1:11">
      <c r="A55" s="3"/>
      <c r="B55" s="66"/>
      <c r="C55" s="66"/>
      <c r="D55" s="66"/>
      <c r="E55" s="66"/>
      <c r="G55" s="3"/>
      <c r="H55" s="68"/>
      <c r="I55" s="68"/>
      <c r="J55" s="68"/>
      <c r="K55" s="68"/>
    </row>
    <row r="56" ht="13.5" customHeight="1" spans="1:11">
      <c r="A56" s="3"/>
      <c r="B56" s="66"/>
      <c r="C56" s="66"/>
      <c r="D56" s="66"/>
      <c r="E56" s="66"/>
      <c r="G56" s="3"/>
      <c r="H56" s="68"/>
      <c r="I56" s="68"/>
      <c r="J56" s="68"/>
      <c r="K56" s="68"/>
    </row>
    <row r="57" ht="13.5" customHeight="1" spans="1:11">
      <c r="A57" s="3"/>
      <c r="B57" s="66"/>
      <c r="C57" s="66"/>
      <c r="D57" s="66"/>
      <c r="E57" s="66"/>
      <c r="G57" s="3"/>
      <c r="H57" s="68"/>
      <c r="I57" s="68"/>
      <c r="J57" s="68"/>
      <c r="K57" s="68"/>
    </row>
    <row r="58" ht="13.5" customHeight="1" spans="1:11">
      <c r="A58" s="3"/>
      <c r="B58" s="66"/>
      <c r="C58" s="66"/>
      <c r="D58" s="66"/>
      <c r="E58" s="66"/>
      <c r="G58" s="3"/>
      <c r="H58" s="68"/>
      <c r="I58" s="68"/>
      <c r="J58" s="68"/>
      <c r="K58" s="68"/>
    </row>
    <row r="59" ht="13.5" customHeight="1" spans="1:11">
      <c r="A59" s="3"/>
      <c r="B59" s="66"/>
      <c r="C59" s="66"/>
      <c r="D59" s="66"/>
      <c r="E59" s="66"/>
      <c r="G59" s="3"/>
      <c r="H59" s="68"/>
      <c r="I59" s="68"/>
      <c r="J59" s="68"/>
      <c r="K59" s="68"/>
    </row>
    <row r="60" ht="13.5" customHeight="1" spans="1:11">
      <c r="A60" s="3"/>
      <c r="B60" s="66"/>
      <c r="C60" s="66"/>
      <c r="D60" s="66"/>
      <c r="E60" s="66"/>
      <c r="G60" s="3"/>
      <c r="H60" s="68"/>
      <c r="I60" s="68"/>
      <c r="J60" s="68"/>
      <c r="K60" s="68"/>
    </row>
    <row r="61" ht="13.5" customHeight="1" spans="1:11">
      <c r="A61" s="3"/>
      <c r="B61" s="66"/>
      <c r="C61" s="66"/>
      <c r="D61" s="66"/>
      <c r="E61" s="66"/>
      <c r="G61" s="3"/>
      <c r="H61" s="68"/>
      <c r="I61" s="68"/>
      <c r="J61" s="68"/>
      <c r="K61" s="68"/>
    </row>
    <row r="62" ht="13.5" customHeight="1" spans="1:11">
      <c r="A62" s="3"/>
      <c r="B62" s="66"/>
      <c r="C62" s="66"/>
      <c r="D62" s="66"/>
      <c r="E62" s="66"/>
      <c r="G62" s="3"/>
      <c r="H62" s="68"/>
      <c r="I62" s="68"/>
      <c r="J62" s="68"/>
      <c r="K62" s="68"/>
    </row>
    <row r="63" ht="13.5" customHeight="1" spans="1:11">
      <c r="A63" s="3"/>
      <c r="B63" s="66"/>
      <c r="C63" s="66"/>
      <c r="D63" s="66"/>
      <c r="E63" s="66"/>
      <c r="G63" s="3"/>
      <c r="H63" s="68"/>
      <c r="I63" s="68"/>
      <c r="J63" s="68"/>
      <c r="K63" s="68"/>
    </row>
    <row r="64" ht="13.5" customHeight="1" spans="1:11">
      <c r="A64" s="3"/>
      <c r="B64" s="66"/>
      <c r="C64" s="66"/>
      <c r="D64" s="66"/>
      <c r="E64" s="66"/>
      <c r="G64" s="3"/>
      <c r="H64" s="68"/>
      <c r="I64" s="68"/>
      <c r="J64" s="68"/>
      <c r="K64" s="68"/>
    </row>
    <row r="65" ht="13.5" customHeight="1" spans="1:11">
      <c r="A65" s="3"/>
      <c r="B65" s="66"/>
      <c r="C65" s="66"/>
      <c r="D65" s="66"/>
      <c r="E65" s="66"/>
      <c r="G65" s="3"/>
      <c r="H65" s="68"/>
      <c r="I65" s="68"/>
      <c r="J65" s="68"/>
      <c r="K65" s="68"/>
    </row>
    <row r="66" ht="13.5" customHeight="1" spans="1:11">
      <c r="A66" s="3"/>
      <c r="B66" s="66"/>
      <c r="C66" s="66"/>
      <c r="D66" s="66"/>
      <c r="E66" s="66"/>
      <c r="G66" s="3"/>
      <c r="H66" s="68"/>
      <c r="I66" s="68"/>
      <c r="J66" s="68"/>
      <c r="K66" s="68"/>
    </row>
    <row r="67" ht="13.5" customHeight="1" spans="1:11">
      <c r="A67" s="3"/>
      <c r="B67" s="66"/>
      <c r="C67" s="66"/>
      <c r="D67" s="66"/>
      <c r="E67" s="66"/>
      <c r="G67" s="3"/>
      <c r="H67" s="68"/>
      <c r="I67" s="68"/>
      <c r="J67" s="68"/>
      <c r="K67" s="68"/>
    </row>
    <row r="68" ht="13.5" customHeight="1" spans="1:11">
      <c r="A68" s="3"/>
      <c r="B68" s="66"/>
      <c r="C68" s="66"/>
      <c r="D68" s="66"/>
      <c r="E68" s="66"/>
      <c r="G68" s="3"/>
      <c r="H68" s="68"/>
      <c r="I68" s="68"/>
      <c r="J68" s="68"/>
      <c r="K68" s="68"/>
    </row>
    <row r="69" ht="13.5" customHeight="1" spans="1:11">
      <c r="A69" s="3"/>
      <c r="B69" s="66"/>
      <c r="C69" s="66"/>
      <c r="D69" s="66"/>
      <c r="E69" s="66"/>
      <c r="G69" s="3"/>
      <c r="H69" s="68"/>
      <c r="I69" s="68"/>
      <c r="J69" s="68"/>
      <c r="K69" s="68"/>
    </row>
    <row r="70" ht="13.5" customHeight="1" spans="1:11">
      <c r="A70" s="3"/>
      <c r="B70" s="66"/>
      <c r="C70" s="66"/>
      <c r="D70" s="66"/>
      <c r="E70" s="66"/>
      <c r="G70" s="3"/>
      <c r="H70" s="68"/>
      <c r="I70" s="68"/>
      <c r="J70" s="68"/>
      <c r="K70" s="68"/>
    </row>
    <row r="71" ht="13.5" customHeight="1" spans="1:11">
      <c r="A71" s="3"/>
      <c r="B71" s="66"/>
      <c r="C71" s="66"/>
      <c r="D71" s="66"/>
      <c r="E71" s="66"/>
      <c r="G71" s="3"/>
      <c r="H71" s="68"/>
      <c r="I71" s="68"/>
      <c r="J71" s="68"/>
      <c r="K71" s="68"/>
    </row>
    <row r="72" ht="13.5" customHeight="1" spans="1:11">
      <c r="A72" s="3"/>
      <c r="B72" s="66"/>
      <c r="C72" s="66"/>
      <c r="D72" s="66"/>
      <c r="E72" s="66"/>
      <c r="G72" s="3"/>
      <c r="H72" s="68"/>
      <c r="I72" s="68"/>
      <c r="J72" s="68"/>
      <c r="K72" s="68"/>
    </row>
    <row r="73" ht="13.5" customHeight="1" spans="1:11">
      <c r="A73" s="3"/>
      <c r="B73" s="66"/>
      <c r="C73" s="66"/>
      <c r="D73" s="66"/>
      <c r="E73" s="66"/>
      <c r="G73" s="3"/>
      <c r="H73" s="68"/>
      <c r="I73" s="68"/>
      <c r="J73" s="68"/>
      <c r="K73" s="68"/>
    </row>
    <row r="74" ht="13.5" customHeight="1" spans="1:11">
      <c r="A74" s="3"/>
      <c r="B74" s="66"/>
      <c r="C74" s="66"/>
      <c r="D74" s="66"/>
      <c r="E74" s="66"/>
      <c r="G74" s="3"/>
      <c r="H74" s="68"/>
      <c r="I74" s="68"/>
      <c r="J74" s="68"/>
      <c r="K74" s="68"/>
    </row>
    <row r="75" ht="13.5" customHeight="1" spans="1:11">
      <c r="A75" s="3"/>
      <c r="B75" s="66"/>
      <c r="C75" s="66"/>
      <c r="D75" s="66"/>
      <c r="E75" s="66"/>
      <c r="G75" s="3"/>
      <c r="H75" s="68"/>
      <c r="I75" s="68"/>
      <c r="J75" s="68"/>
      <c r="K75" s="68"/>
    </row>
    <row r="76" ht="13.5" customHeight="1" spans="1:11">
      <c r="A76" s="3"/>
      <c r="B76" s="66"/>
      <c r="C76" s="66"/>
      <c r="D76" s="66"/>
      <c r="E76" s="66"/>
      <c r="G76" s="3"/>
      <c r="H76" s="68"/>
      <c r="I76" s="68"/>
      <c r="J76" s="68"/>
      <c r="K76" s="68"/>
    </row>
    <row r="77" ht="13.5" customHeight="1" spans="1:11">
      <c r="A77" s="3"/>
      <c r="B77" s="66"/>
      <c r="C77" s="66"/>
      <c r="D77" s="66"/>
      <c r="E77" s="66"/>
      <c r="G77" s="3"/>
      <c r="H77" s="68"/>
      <c r="I77" s="68"/>
      <c r="J77" s="68"/>
      <c r="K77" s="68"/>
    </row>
    <row r="78" ht="13.5" customHeight="1" spans="1:11">
      <c r="A78" s="3"/>
      <c r="B78" s="66"/>
      <c r="C78" s="66"/>
      <c r="D78" s="66"/>
      <c r="E78" s="66"/>
      <c r="G78" s="3"/>
      <c r="H78" s="68"/>
      <c r="I78" s="68"/>
      <c r="J78" s="68"/>
      <c r="K78" s="68"/>
    </row>
    <row r="79" ht="13.5" customHeight="1" spans="1:11">
      <c r="A79" s="3"/>
      <c r="B79" s="66"/>
      <c r="C79" s="66"/>
      <c r="D79" s="66"/>
      <c r="E79" s="66"/>
      <c r="G79" s="3"/>
      <c r="H79" s="68"/>
      <c r="I79" s="68"/>
      <c r="J79" s="68"/>
      <c r="K79" s="68"/>
    </row>
    <row r="80" ht="13.5" customHeight="1" spans="1:11">
      <c r="A80" s="3"/>
      <c r="B80" s="66"/>
      <c r="C80" s="66"/>
      <c r="D80" s="66"/>
      <c r="E80" s="66"/>
      <c r="G80" s="3"/>
      <c r="H80" s="68"/>
      <c r="I80" s="68"/>
      <c r="J80" s="68"/>
      <c r="K80" s="68"/>
    </row>
    <row r="81" ht="13.5" customHeight="1" spans="1:11">
      <c r="A81" s="3"/>
      <c r="B81" s="66"/>
      <c r="C81" s="66"/>
      <c r="D81" s="66"/>
      <c r="E81" s="66"/>
      <c r="G81" s="3"/>
      <c r="H81" s="68"/>
      <c r="I81" s="68"/>
      <c r="J81" s="68"/>
      <c r="K81" s="68"/>
    </row>
    <row r="82" ht="13.5" customHeight="1" spans="1:11">
      <c r="A82" s="3"/>
      <c r="B82" s="66"/>
      <c r="C82" s="66"/>
      <c r="D82" s="66"/>
      <c r="E82" s="66"/>
      <c r="G82" s="3"/>
      <c r="H82" s="68"/>
      <c r="I82" s="68"/>
      <c r="J82" s="68"/>
      <c r="K82" s="68"/>
    </row>
    <row r="83" ht="13.5" customHeight="1" spans="1:11">
      <c r="A83" s="3"/>
      <c r="B83" s="66"/>
      <c r="C83" s="66"/>
      <c r="D83" s="66"/>
      <c r="E83" s="66"/>
      <c r="G83" s="3"/>
      <c r="H83" s="68"/>
      <c r="I83" s="68"/>
      <c r="J83" s="68"/>
      <c r="K83" s="68"/>
    </row>
    <row r="84" ht="13.5" customHeight="1" spans="1:11">
      <c r="A84" s="3"/>
      <c r="B84" s="66"/>
      <c r="C84" s="66"/>
      <c r="D84" s="66"/>
      <c r="E84" s="66"/>
      <c r="G84" s="3"/>
      <c r="H84" s="68"/>
      <c r="I84" s="68"/>
      <c r="J84" s="68"/>
      <c r="K84" s="68"/>
    </row>
    <row r="85" ht="13.5" customHeight="1" spans="1:11">
      <c r="A85" s="3"/>
      <c r="B85" s="66"/>
      <c r="C85" s="66"/>
      <c r="D85" s="66"/>
      <c r="E85" s="66"/>
      <c r="G85" s="3"/>
      <c r="H85" s="68"/>
      <c r="I85" s="68"/>
      <c r="J85" s="68"/>
      <c r="K85" s="68"/>
    </row>
    <row r="86" ht="13.5" customHeight="1" spans="1:11">
      <c r="A86" s="3"/>
      <c r="B86" s="66"/>
      <c r="C86" s="66"/>
      <c r="D86" s="66"/>
      <c r="E86" s="66"/>
      <c r="G86" s="3"/>
      <c r="H86" s="68"/>
      <c r="I86" s="68"/>
      <c r="J86" s="68"/>
      <c r="K86" s="68"/>
    </row>
    <row r="87" ht="13.5" customHeight="1" spans="1:11">
      <c r="A87" s="3"/>
      <c r="B87" s="66"/>
      <c r="C87" s="66"/>
      <c r="D87" s="66"/>
      <c r="E87" s="66"/>
      <c r="G87" s="3"/>
      <c r="H87" s="68"/>
      <c r="I87" s="68"/>
      <c r="J87" s="68"/>
      <c r="K87" s="68"/>
    </row>
    <row r="88" ht="13.5" customHeight="1" spans="1:11">
      <c r="A88" s="3"/>
      <c r="B88" s="66"/>
      <c r="C88" s="66"/>
      <c r="D88" s="66"/>
      <c r="E88" s="66"/>
      <c r="G88" s="3"/>
      <c r="H88" s="68"/>
      <c r="I88" s="68"/>
      <c r="J88" s="68"/>
      <c r="K88" s="68"/>
    </row>
    <row r="89" ht="13.5" customHeight="1" spans="1:11">
      <c r="A89" s="3"/>
      <c r="B89" s="66"/>
      <c r="C89" s="66"/>
      <c r="D89" s="66"/>
      <c r="E89" s="66"/>
      <c r="G89" s="3"/>
      <c r="H89" s="68"/>
      <c r="I89" s="68"/>
      <c r="J89" s="68"/>
      <c r="K89" s="68"/>
    </row>
    <row r="90" ht="13.5" customHeight="1" spans="1:11">
      <c r="A90" s="3"/>
      <c r="B90" s="66"/>
      <c r="C90" s="66"/>
      <c r="D90" s="66"/>
      <c r="E90" s="66"/>
      <c r="G90" s="3"/>
      <c r="H90" s="68"/>
      <c r="I90" s="68"/>
      <c r="J90" s="68"/>
      <c r="K90" s="68"/>
    </row>
    <row r="91" ht="13.5" customHeight="1" spans="1:11">
      <c r="A91" s="3"/>
      <c r="B91" s="66"/>
      <c r="C91" s="66"/>
      <c r="D91" s="66"/>
      <c r="E91" s="66"/>
      <c r="G91" s="3"/>
      <c r="H91" s="68"/>
      <c r="I91" s="68"/>
      <c r="J91" s="68"/>
      <c r="K91" s="68"/>
    </row>
    <row r="92" ht="13.5" customHeight="1" spans="1:11">
      <c r="A92" s="3"/>
      <c r="B92" s="66"/>
      <c r="C92" s="66"/>
      <c r="D92" s="66"/>
      <c r="E92" s="66"/>
      <c r="G92" s="3"/>
      <c r="H92" s="68"/>
      <c r="I92" s="68"/>
      <c r="J92" s="68"/>
      <c r="K92" s="68"/>
    </row>
    <row r="93" ht="13.5" customHeight="1" spans="1:11">
      <c r="A93" s="3"/>
      <c r="B93" s="66"/>
      <c r="C93" s="66"/>
      <c r="D93" s="66"/>
      <c r="E93" s="66"/>
      <c r="G93" s="3"/>
      <c r="H93" s="68"/>
      <c r="I93" s="68"/>
      <c r="J93" s="68"/>
      <c r="K93" s="68"/>
    </row>
    <row r="94" ht="13.5" customHeight="1" spans="1:11">
      <c r="A94" s="3"/>
      <c r="B94" s="66"/>
      <c r="C94" s="66"/>
      <c r="D94" s="66"/>
      <c r="E94" s="66"/>
      <c r="G94" s="3"/>
      <c r="H94" s="68"/>
      <c r="I94" s="68"/>
      <c r="J94" s="68"/>
      <c r="K94" s="68"/>
    </row>
    <row r="95" ht="13.5" customHeight="1" spans="1:11">
      <c r="A95" s="3"/>
      <c r="B95" s="66"/>
      <c r="C95" s="66"/>
      <c r="D95" s="66"/>
      <c r="E95" s="66"/>
      <c r="G95" s="3"/>
      <c r="H95" s="68"/>
      <c r="I95" s="68"/>
      <c r="J95" s="68"/>
      <c r="K95" s="68"/>
    </row>
    <row r="96" ht="13.5" customHeight="1" spans="1:11">
      <c r="A96" s="3"/>
      <c r="B96" s="66"/>
      <c r="C96" s="66"/>
      <c r="D96" s="66"/>
      <c r="E96" s="66"/>
      <c r="G96" s="3"/>
      <c r="H96" s="68"/>
      <c r="I96" s="68"/>
      <c r="J96" s="68"/>
      <c r="K96" s="68"/>
    </row>
    <row r="97" ht="13.5" customHeight="1" spans="1:11">
      <c r="A97" s="3"/>
      <c r="B97" s="66"/>
      <c r="C97" s="66"/>
      <c r="D97" s="66"/>
      <c r="E97" s="66"/>
      <c r="G97" s="3"/>
      <c r="H97" s="68"/>
      <c r="I97" s="68"/>
      <c r="J97" s="68"/>
      <c r="K97" s="68"/>
    </row>
    <row r="98" ht="13.5" customHeight="1" spans="1:11">
      <c r="A98" s="3"/>
      <c r="B98" s="66"/>
      <c r="C98" s="66"/>
      <c r="D98" s="66"/>
      <c r="E98" s="66"/>
      <c r="G98" s="3"/>
      <c r="H98" s="68"/>
      <c r="I98" s="68"/>
      <c r="J98" s="68"/>
      <c r="K98" s="68"/>
    </row>
    <row r="99" ht="13.5" customHeight="1" spans="1:11">
      <c r="A99" s="3"/>
      <c r="B99" s="66"/>
      <c r="C99" s="66"/>
      <c r="D99" s="66"/>
      <c r="E99" s="66"/>
      <c r="G99" s="3"/>
      <c r="H99" s="68"/>
      <c r="I99" s="68"/>
      <c r="J99" s="68"/>
      <c r="K99" s="68"/>
    </row>
    <row r="100" ht="13.5" customHeight="1" spans="1:11">
      <c r="A100" s="3"/>
      <c r="B100" s="66"/>
      <c r="C100" s="66"/>
      <c r="D100" s="66"/>
      <c r="E100" s="66"/>
      <c r="G100" s="3"/>
      <c r="H100" s="68"/>
      <c r="I100" s="68"/>
      <c r="J100" s="68"/>
      <c r="K100" s="68"/>
    </row>
    <row r="101" ht="13.5" customHeight="1" spans="1:11">
      <c r="A101" s="3"/>
      <c r="B101" s="66"/>
      <c r="C101" s="66"/>
      <c r="D101" s="66"/>
      <c r="E101" s="66"/>
      <c r="G101" s="3"/>
      <c r="H101" s="68"/>
      <c r="I101" s="68"/>
      <c r="J101" s="68"/>
      <c r="K101" s="68"/>
    </row>
    <row r="102" ht="13.5" customHeight="1" spans="1:11">
      <c r="A102" s="3"/>
      <c r="B102" s="66"/>
      <c r="C102" s="66"/>
      <c r="D102" s="66"/>
      <c r="E102" s="66"/>
      <c r="G102" s="3"/>
      <c r="H102" s="68"/>
      <c r="I102" s="68"/>
      <c r="J102" s="68"/>
      <c r="K102" s="68"/>
    </row>
    <row r="103" ht="13.5" customHeight="1" spans="1:11">
      <c r="A103" s="3"/>
      <c r="B103" s="66"/>
      <c r="C103" s="66"/>
      <c r="D103" s="66"/>
      <c r="E103" s="66"/>
      <c r="G103" s="3"/>
      <c r="H103" s="68"/>
      <c r="I103" s="68"/>
      <c r="J103" s="68"/>
      <c r="K103" s="68"/>
    </row>
    <row r="104" ht="13.5" customHeight="1" spans="1:11">
      <c r="A104" s="3"/>
      <c r="B104" s="66"/>
      <c r="C104" s="66"/>
      <c r="D104" s="66"/>
      <c r="E104" s="66"/>
      <c r="G104" s="3"/>
      <c r="H104" s="68"/>
      <c r="I104" s="68"/>
      <c r="J104" s="68"/>
      <c r="K104" s="68"/>
    </row>
    <row r="105" ht="13.5" customHeight="1" spans="1:11">
      <c r="A105" s="3"/>
      <c r="B105" s="66"/>
      <c r="C105" s="66"/>
      <c r="D105" s="66"/>
      <c r="E105" s="66"/>
      <c r="G105" s="3"/>
      <c r="H105" s="68"/>
      <c r="I105" s="68"/>
      <c r="J105" s="68"/>
      <c r="K105" s="68"/>
    </row>
    <row r="106" ht="13.5" customHeight="1" spans="1:11">
      <c r="A106" s="3"/>
      <c r="B106" s="66"/>
      <c r="C106" s="66"/>
      <c r="D106" s="66"/>
      <c r="E106" s="66"/>
      <c r="G106" s="3"/>
      <c r="H106" s="68"/>
      <c r="I106" s="68"/>
      <c r="J106" s="68"/>
      <c r="K106" s="68"/>
    </row>
    <row r="107" ht="13.5" customHeight="1" spans="1:11">
      <c r="A107" s="3"/>
      <c r="B107" s="66"/>
      <c r="C107" s="66"/>
      <c r="D107" s="66"/>
      <c r="E107" s="66"/>
      <c r="G107" s="3"/>
      <c r="H107" s="68"/>
      <c r="I107" s="68"/>
      <c r="J107" s="68"/>
      <c r="K107" s="68"/>
    </row>
    <row r="108" ht="13.5" customHeight="1" spans="1:11">
      <c r="A108" s="3"/>
      <c r="B108" s="66"/>
      <c r="C108" s="66"/>
      <c r="D108" s="66"/>
      <c r="E108" s="66"/>
      <c r="G108" s="3"/>
      <c r="H108" s="68"/>
      <c r="I108" s="68"/>
      <c r="J108" s="68"/>
      <c r="K108" s="68"/>
    </row>
    <row r="109" ht="13.5" customHeight="1" spans="1:11">
      <c r="A109" s="3"/>
      <c r="B109" s="66"/>
      <c r="C109" s="66"/>
      <c r="D109" s="66"/>
      <c r="E109" s="66"/>
      <c r="G109" s="3"/>
      <c r="H109" s="68"/>
      <c r="I109" s="68"/>
      <c r="J109" s="68"/>
      <c r="K109" s="68"/>
    </row>
    <row r="110" ht="13.5" customHeight="1" spans="1:11">
      <c r="A110" s="3"/>
      <c r="B110" s="66"/>
      <c r="C110" s="66"/>
      <c r="D110" s="66"/>
      <c r="E110" s="66"/>
      <c r="G110" s="3"/>
      <c r="H110" s="68"/>
      <c r="I110" s="68"/>
      <c r="J110" s="68"/>
      <c r="K110" s="68"/>
    </row>
    <row r="111" ht="13.5" customHeight="1" spans="1:11">
      <c r="A111" s="3"/>
      <c r="B111" s="66"/>
      <c r="C111" s="66"/>
      <c r="D111" s="66"/>
      <c r="E111" s="66"/>
      <c r="G111" s="3"/>
      <c r="H111" s="68"/>
      <c r="I111" s="68"/>
      <c r="J111" s="68"/>
      <c r="K111" s="68"/>
    </row>
    <row r="112" ht="13.5" customHeight="1" spans="1:11">
      <c r="A112" s="3"/>
      <c r="B112" s="66"/>
      <c r="C112" s="66"/>
      <c r="D112" s="66"/>
      <c r="E112" s="66"/>
      <c r="G112" s="3"/>
      <c r="H112" s="68"/>
      <c r="I112" s="68"/>
      <c r="J112" s="68"/>
      <c r="K112" s="68"/>
    </row>
    <row r="113" ht="13.5" customHeight="1" spans="1:11">
      <c r="A113" s="3"/>
      <c r="B113" s="66"/>
      <c r="C113" s="66"/>
      <c r="D113" s="66"/>
      <c r="E113" s="66"/>
      <c r="G113" s="3"/>
      <c r="H113" s="68"/>
      <c r="I113" s="68"/>
      <c r="J113" s="68"/>
      <c r="K113" s="68"/>
    </row>
    <row r="114" ht="13.5" customHeight="1" spans="1:11">
      <c r="A114" s="3"/>
      <c r="B114" s="66"/>
      <c r="C114" s="66"/>
      <c r="D114" s="66"/>
      <c r="E114" s="66"/>
      <c r="G114" s="3"/>
      <c r="H114" s="68"/>
      <c r="I114" s="68"/>
      <c r="J114" s="68"/>
      <c r="K114" s="68"/>
    </row>
    <row r="115" ht="13.5" customHeight="1" spans="1:11">
      <c r="A115" s="3"/>
      <c r="B115" s="66"/>
      <c r="C115" s="66"/>
      <c r="D115" s="66"/>
      <c r="E115" s="66"/>
      <c r="G115" s="3"/>
      <c r="H115" s="68"/>
      <c r="I115" s="68"/>
      <c r="J115" s="68"/>
      <c r="K115" s="68"/>
    </row>
    <row r="116" ht="13.5" customHeight="1" spans="1:11">
      <c r="A116" s="3"/>
      <c r="B116" s="66"/>
      <c r="C116" s="66"/>
      <c r="D116" s="66"/>
      <c r="E116" s="66"/>
      <c r="G116" s="3"/>
      <c r="H116" s="68"/>
      <c r="I116" s="68"/>
      <c r="J116" s="68"/>
      <c r="K116" s="68"/>
    </row>
    <row r="117" ht="13.5" customHeight="1" spans="1:11">
      <c r="A117" s="3"/>
      <c r="B117" s="66"/>
      <c r="C117" s="66"/>
      <c r="D117" s="66"/>
      <c r="E117" s="66"/>
      <c r="G117" s="3"/>
      <c r="H117" s="68"/>
      <c r="I117" s="68"/>
      <c r="J117" s="68"/>
      <c r="K117" s="68"/>
    </row>
    <row r="118" ht="13.5" customHeight="1" spans="1:11">
      <c r="A118" s="3"/>
      <c r="B118" s="66"/>
      <c r="C118" s="66"/>
      <c r="D118" s="66"/>
      <c r="E118" s="66"/>
      <c r="G118" s="3"/>
      <c r="H118" s="68"/>
      <c r="I118" s="68"/>
      <c r="J118" s="68"/>
      <c r="K118" s="68"/>
    </row>
    <row r="119" ht="13.5" customHeight="1" spans="1:11">
      <c r="A119" s="3"/>
      <c r="B119" s="66"/>
      <c r="C119" s="66"/>
      <c r="D119" s="66"/>
      <c r="E119" s="66"/>
      <c r="G119" s="3"/>
      <c r="H119" s="68"/>
      <c r="I119" s="68"/>
      <c r="J119" s="68"/>
      <c r="K119" s="68"/>
    </row>
    <row r="120" ht="13.5" customHeight="1" spans="1:11">
      <c r="A120" s="3"/>
      <c r="B120" s="66"/>
      <c r="C120" s="66"/>
      <c r="D120" s="66"/>
      <c r="E120" s="66"/>
      <c r="G120" s="3"/>
      <c r="H120" s="68"/>
      <c r="I120" s="68"/>
      <c r="J120" s="68"/>
      <c r="K120" s="68"/>
    </row>
    <row r="121" ht="13.5" customHeight="1" spans="1:11">
      <c r="A121" s="3"/>
      <c r="B121" s="66"/>
      <c r="C121" s="66"/>
      <c r="D121" s="66"/>
      <c r="E121" s="66"/>
      <c r="G121" s="3"/>
      <c r="H121" s="68"/>
      <c r="I121" s="68"/>
      <c r="J121" s="68"/>
      <c r="K121" s="68"/>
    </row>
    <row r="122" ht="13.5" customHeight="1" spans="1:11">
      <c r="A122" s="3"/>
      <c r="B122" s="66"/>
      <c r="C122" s="66"/>
      <c r="D122" s="66"/>
      <c r="E122" s="66"/>
      <c r="G122" s="3"/>
      <c r="H122" s="68"/>
      <c r="I122" s="68"/>
      <c r="J122" s="68"/>
      <c r="K122" s="68"/>
    </row>
    <row r="123" ht="13.5" customHeight="1" spans="1:11">
      <c r="A123" s="3"/>
      <c r="B123" s="66"/>
      <c r="C123" s="66"/>
      <c r="D123" s="66"/>
      <c r="E123" s="66"/>
      <c r="G123" s="3"/>
      <c r="H123" s="68"/>
      <c r="I123" s="68"/>
      <c r="J123" s="68"/>
      <c r="K123" s="68"/>
    </row>
    <row r="124" ht="13.5" customHeight="1" spans="1:11">
      <c r="A124" s="3"/>
      <c r="B124" s="66"/>
      <c r="C124" s="66"/>
      <c r="D124" s="66"/>
      <c r="E124" s="66"/>
      <c r="G124" s="3"/>
      <c r="H124" s="68"/>
      <c r="I124" s="68"/>
      <c r="J124" s="68"/>
      <c r="K124" s="68"/>
    </row>
    <row r="125" ht="13.5" customHeight="1" spans="1:11">
      <c r="A125" s="3"/>
      <c r="B125" s="66"/>
      <c r="C125" s="66"/>
      <c r="D125" s="66"/>
      <c r="E125" s="66"/>
      <c r="G125" s="3"/>
      <c r="H125" s="68"/>
      <c r="I125" s="68"/>
      <c r="J125" s="68"/>
      <c r="K125" s="68"/>
    </row>
    <row r="126" ht="13.5" customHeight="1" spans="1:11">
      <c r="A126" s="3"/>
      <c r="B126" s="66"/>
      <c r="C126" s="66"/>
      <c r="D126" s="66"/>
      <c r="E126" s="66"/>
      <c r="G126" s="3"/>
      <c r="H126" s="68"/>
      <c r="I126" s="68"/>
      <c r="J126" s="68"/>
      <c r="K126" s="68"/>
    </row>
    <row r="127" ht="13.5" customHeight="1" spans="1:11">
      <c r="A127" s="3"/>
      <c r="B127" s="66"/>
      <c r="C127" s="66"/>
      <c r="D127" s="66"/>
      <c r="E127" s="66"/>
      <c r="G127" s="3"/>
      <c r="H127" s="68"/>
      <c r="I127" s="68"/>
      <c r="J127" s="68"/>
      <c r="K127" s="68"/>
    </row>
    <row r="128" ht="13.5" customHeight="1" spans="1:11">
      <c r="A128" s="3"/>
      <c r="B128" s="66"/>
      <c r="C128" s="66"/>
      <c r="D128" s="66"/>
      <c r="E128" s="66"/>
      <c r="G128" s="3"/>
      <c r="H128" s="68"/>
      <c r="I128" s="68"/>
      <c r="J128" s="68"/>
      <c r="K128" s="68"/>
    </row>
    <row r="129" ht="13.5" customHeight="1" spans="1:11">
      <c r="A129" s="3"/>
      <c r="B129" s="66"/>
      <c r="C129" s="66"/>
      <c r="D129" s="66"/>
      <c r="E129" s="66"/>
      <c r="G129" s="3"/>
      <c r="H129" s="68"/>
      <c r="I129" s="68"/>
      <c r="J129" s="68"/>
      <c r="K129" s="68"/>
    </row>
    <row r="130" ht="13.5" customHeight="1" spans="1:11">
      <c r="A130" s="3"/>
      <c r="B130" s="66"/>
      <c r="C130" s="66"/>
      <c r="D130" s="66"/>
      <c r="E130" s="66"/>
      <c r="G130" s="3"/>
      <c r="H130" s="68"/>
      <c r="I130" s="68"/>
      <c r="J130" s="68"/>
      <c r="K130" s="68"/>
    </row>
    <row r="131" ht="13.5" customHeight="1" spans="1:11">
      <c r="A131" s="3"/>
      <c r="B131" s="66"/>
      <c r="C131" s="66"/>
      <c r="D131" s="66"/>
      <c r="E131" s="66"/>
      <c r="G131" s="3"/>
      <c r="H131" s="68"/>
      <c r="I131" s="68"/>
      <c r="J131" s="68"/>
      <c r="K131" s="68"/>
    </row>
    <row r="132" ht="13.5" customHeight="1" spans="1:11">
      <c r="A132" s="3"/>
      <c r="B132" s="66"/>
      <c r="C132" s="66"/>
      <c r="D132" s="66"/>
      <c r="E132" s="66"/>
      <c r="G132" s="3"/>
      <c r="H132" s="68"/>
      <c r="I132" s="68"/>
      <c r="J132" s="68"/>
      <c r="K132" s="68"/>
    </row>
    <row r="133" ht="13.5" customHeight="1" spans="1:11">
      <c r="A133" s="3"/>
      <c r="B133" s="66"/>
      <c r="C133" s="66"/>
      <c r="D133" s="66"/>
      <c r="E133" s="66"/>
      <c r="G133" s="3"/>
      <c r="H133" s="68"/>
      <c r="I133" s="68"/>
      <c r="J133" s="68"/>
      <c r="K133" s="68"/>
    </row>
    <row r="134" ht="13.5" customHeight="1" spans="1:11">
      <c r="A134" s="3"/>
      <c r="B134" s="66"/>
      <c r="C134" s="66"/>
      <c r="D134" s="66"/>
      <c r="E134" s="66"/>
      <c r="G134" s="3"/>
      <c r="H134" s="68"/>
      <c r="I134" s="68"/>
      <c r="J134" s="68"/>
      <c r="K134" s="68"/>
    </row>
    <row r="135" ht="13.5" customHeight="1" spans="1:11">
      <c r="A135" s="3"/>
      <c r="B135" s="66"/>
      <c r="C135" s="66"/>
      <c r="D135" s="66"/>
      <c r="E135" s="66"/>
      <c r="G135" s="3"/>
      <c r="H135" s="68"/>
      <c r="I135" s="68"/>
      <c r="J135" s="68"/>
      <c r="K135" s="68"/>
    </row>
    <row r="136" ht="13.5" customHeight="1" spans="1:11">
      <c r="A136" s="3"/>
      <c r="B136" s="66"/>
      <c r="C136" s="66"/>
      <c r="D136" s="66"/>
      <c r="E136" s="66"/>
      <c r="G136" s="3"/>
      <c r="H136" s="68"/>
      <c r="I136" s="68"/>
      <c r="J136" s="68"/>
      <c r="K136" s="68"/>
    </row>
    <row r="137" ht="13.5" customHeight="1" spans="1:11">
      <c r="A137" s="3"/>
      <c r="B137" s="66"/>
      <c r="C137" s="66"/>
      <c r="D137" s="66"/>
      <c r="E137" s="66"/>
      <c r="G137" s="3"/>
      <c r="H137" s="68"/>
      <c r="I137" s="68"/>
      <c r="J137" s="68"/>
      <c r="K137" s="68"/>
    </row>
    <row r="138" ht="13.5" customHeight="1" spans="1:11">
      <c r="A138" s="3"/>
      <c r="B138" s="66"/>
      <c r="C138" s="66"/>
      <c r="D138" s="66"/>
      <c r="E138" s="66"/>
      <c r="G138" s="3"/>
      <c r="H138" s="68"/>
      <c r="I138" s="68"/>
      <c r="J138" s="68"/>
      <c r="K138" s="68"/>
    </row>
    <row r="139" ht="13.5" customHeight="1" spans="1:11">
      <c r="A139" s="3"/>
      <c r="B139" s="66"/>
      <c r="C139" s="66"/>
      <c r="D139" s="66"/>
      <c r="E139" s="66"/>
      <c r="G139" s="3"/>
      <c r="H139" s="68"/>
      <c r="I139" s="68"/>
      <c r="J139" s="68"/>
      <c r="K139" s="68"/>
    </row>
    <row r="140" ht="13.5" customHeight="1" spans="1:11">
      <c r="A140" s="3"/>
      <c r="B140" s="66"/>
      <c r="C140" s="66"/>
      <c r="D140" s="66"/>
      <c r="E140" s="66"/>
      <c r="G140" s="3"/>
      <c r="H140" s="68"/>
      <c r="I140" s="68"/>
      <c r="J140" s="68"/>
      <c r="K140" s="68"/>
    </row>
    <row r="141" ht="13.5" customHeight="1" spans="1:11">
      <c r="A141" s="3"/>
      <c r="B141" s="66"/>
      <c r="C141" s="66"/>
      <c r="D141" s="66"/>
      <c r="E141" s="66"/>
      <c r="G141" s="3"/>
      <c r="H141" s="68"/>
      <c r="I141" s="68"/>
      <c r="J141" s="68"/>
      <c r="K141" s="68"/>
    </row>
    <row r="142" ht="13.5" customHeight="1" spans="1:11">
      <c r="A142" s="3"/>
      <c r="B142" s="66"/>
      <c r="C142" s="66"/>
      <c r="D142" s="66"/>
      <c r="E142" s="66"/>
      <c r="G142" s="3"/>
      <c r="H142" s="68"/>
      <c r="I142" s="68"/>
      <c r="J142" s="68"/>
      <c r="K142" s="68"/>
    </row>
    <row r="143" ht="13.5" customHeight="1" spans="1:11">
      <c r="A143" s="3"/>
      <c r="B143" s="66"/>
      <c r="C143" s="66"/>
      <c r="D143" s="66"/>
      <c r="E143" s="66"/>
      <c r="G143" s="3"/>
      <c r="H143" s="68"/>
      <c r="I143" s="68"/>
      <c r="J143" s="68"/>
      <c r="K143" s="68"/>
    </row>
    <row r="144" ht="13.5" customHeight="1" spans="1:11">
      <c r="A144" s="3"/>
      <c r="B144" s="66"/>
      <c r="C144" s="66"/>
      <c r="D144" s="66"/>
      <c r="E144" s="66"/>
      <c r="G144" s="3"/>
      <c r="H144" s="68"/>
      <c r="I144" s="68"/>
      <c r="J144" s="68"/>
      <c r="K144" s="68"/>
    </row>
    <row r="145" ht="13.5" customHeight="1" spans="1:11">
      <c r="A145" s="3"/>
      <c r="B145" s="66"/>
      <c r="C145" s="66"/>
      <c r="D145" s="66"/>
      <c r="E145" s="66"/>
      <c r="G145" s="3"/>
      <c r="H145" s="68"/>
      <c r="I145" s="68"/>
      <c r="J145" s="68"/>
      <c r="K145" s="68"/>
    </row>
    <row r="146" ht="13.5" customHeight="1" spans="1:11">
      <c r="A146" s="3"/>
      <c r="B146" s="66"/>
      <c r="C146" s="66"/>
      <c r="D146" s="66"/>
      <c r="E146" s="66"/>
      <c r="G146" s="3"/>
      <c r="H146" s="68"/>
      <c r="I146" s="68"/>
      <c r="J146" s="68"/>
      <c r="K146" s="68"/>
    </row>
    <row r="147" ht="13.5" customHeight="1" spans="1:11">
      <c r="A147" s="3"/>
      <c r="B147" s="66"/>
      <c r="C147" s="66"/>
      <c r="D147" s="66"/>
      <c r="E147" s="66"/>
      <c r="G147" s="3"/>
      <c r="H147" s="68"/>
      <c r="I147" s="68"/>
      <c r="J147" s="68"/>
      <c r="K147" s="68"/>
    </row>
    <row r="148" ht="13.5" customHeight="1" spans="1:11">
      <c r="A148" s="3"/>
      <c r="B148" s="66"/>
      <c r="C148" s="66"/>
      <c r="D148" s="66"/>
      <c r="E148" s="66"/>
      <c r="G148" s="3"/>
      <c r="H148" s="68"/>
      <c r="I148" s="68"/>
      <c r="J148" s="68"/>
      <c r="K148" s="68"/>
    </row>
    <row r="149" ht="13.5" customHeight="1" spans="1:11">
      <c r="A149" s="3"/>
      <c r="B149" s="66"/>
      <c r="C149" s="66"/>
      <c r="D149" s="66"/>
      <c r="E149" s="66"/>
      <c r="G149" s="3"/>
      <c r="H149" s="68"/>
      <c r="I149" s="68"/>
      <c r="J149" s="68"/>
      <c r="K149" s="68"/>
    </row>
    <row r="150" ht="13.5" customHeight="1" spans="1:11">
      <c r="A150" s="3"/>
      <c r="B150" s="66"/>
      <c r="C150" s="66"/>
      <c r="D150" s="66"/>
      <c r="E150" s="66"/>
      <c r="G150" s="3"/>
      <c r="H150" s="68"/>
      <c r="I150" s="68"/>
      <c r="J150" s="68"/>
      <c r="K150" s="68"/>
    </row>
    <row r="151" ht="13.5" customHeight="1" spans="1:11">
      <c r="A151" s="3"/>
      <c r="B151" s="66"/>
      <c r="C151" s="66"/>
      <c r="D151" s="66"/>
      <c r="E151" s="66"/>
      <c r="G151" s="3"/>
      <c r="H151" s="68"/>
      <c r="I151" s="68"/>
      <c r="J151" s="68"/>
      <c r="K151" s="68"/>
    </row>
    <row r="152" ht="13.5" customHeight="1" spans="1:11">
      <c r="A152" s="3"/>
      <c r="B152" s="66"/>
      <c r="C152" s="66"/>
      <c r="D152" s="66"/>
      <c r="E152" s="66"/>
      <c r="G152" s="3"/>
      <c r="H152" s="68"/>
      <c r="I152" s="68"/>
      <c r="J152" s="68"/>
      <c r="K152" s="68"/>
    </row>
    <row r="153" ht="13.5" customHeight="1" spans="1:11">
      <c r="A153" s="3"/>
      <c r="B153" s="66"/>
      <c r="C153" s="66"/>
      <c r="D153" s="66"/>
      <c r="E153" s="66"/>
      <c r="G153" s="3"/>
      <c r="H153" s="68"/>
      <c r="I153" s="68"/>
      <c r="J153" s="68"/>
      <c r="K153" s="68"/>
    </row>
    <row r="154" ht="13.5" customHeight="1" spans="1:11">
      <c r="A154" s="3"/>
      <c r="B154" s="66"/>
      <c r="C154" s="66"/>
      <c r="D154" s="66"/>
      <c r="E154" s="66"/>
      <c r="G154" s="3"/>
      <c r="H154" s="68"/>
      <c r="I154" s="68"/>
      <c r="J154" s="68"/>
      <c r="K154" s="68"/>
    </row>
    <row r="155" ht="13.5" customHeight="1" spans="1:11">
      <c r="A155" s="3"/>
      <c r="B155" s="66"/>
      <c r="C155" s="66"/>
      <c r="D155" s="66"/>
      <c r="E155" s="66"/>
      <c r="G155" s="3"/>
      <c r="H155" s="68"/>
      <c r="I155" s="68"/>
      <c r="J155" s="68"/>
      <c r="K155" s="68"/>
    </row>
    <row r="156" ht="13.5" customHeight="1" spans="1:11">
      <c r="A156" s="3"/>
      <c r="B156" s="66"/>
      <c r="C156" s="66"/>
      <c r="D156" s="66"/>
      <c r="E156" s="66"/>
      <c r="G156" s="3"/>
      <c r="H156" s="68"/>
      <c r="I156" s="68"/>
      <c r="J156" s="68"/>
      <c r="K156" s="68"/>
    </row>
    <row r="157" ht="13.5" customHeight="1" spans="1:11">
      <c r="A157" s="3"/>
      <c r="B157" s="66"/>
      <c r="C157" s="66"/>
      <c r="D157" s="66"/>
      <c r="E157" s="66"/>
      <c r="G157" s="3"/>
      <c r="H157" s="68"/>
      <c r="I157" s="68"/>
      <c r="J157" s="68"/>
      <c r="K157" s="68"/>
    </row>
    <row r="158" ht="13.5" customHeight="1" spans="1:11">
      <c r="A158" s="3"/>
      <c r="B158" s="66"/>
      <c r="C158" s="66"/>
      <c r="D158" s="66"/>
      <c r="E158" s="66"/>
      <c r="G158" s="3"/>
      <c r="H158" s="68"/>
      <c r="I158" s="68"/>
      <c r="J158" s="68"/>
      <c r="K158" s="68"/>
    </row>
    <row r="159" ht="13.5" customHeight="1" spans="1:11">
      <c r="A159" s="3"/>
      <c r="B159" s="66"/>
      <c r="C159" s="66"/>
      <c r="D159" s="66"/>
      <c r="E159" s="66"/>
      <c r="G159" s="3"/>
      <c r="H159" s="68"/>
      <c r="I159" s="68"/>
      <c r="J159" s="68"/>
      <c r="K159" s="68"/>
    </row>
    <row r="160" ht="13.5" customHeight="1" spans="1:11">
      <c r="A160" s="3"/>
      <c r="B160" s="66"/>
      <c r="C160" s="66"/>
      <c r="D160" s="66"/>
      <c r="E160" s="66"/>
      <c r="G160" s="3"/>
      <c r="H160" s="68"/>
      <c r="I160" s="68"/>
      <c r="J160" s="68"/>
      <c r="K160" s="68"/>
    </row>
    <row r="161" ht="13.5" customHeight="1" spans="1:11">
      <c r="A161" s="3"/>
      <c r="B161" s="66"/>
      <c r="C161" s="66"/>
      <c r="D161" s="66"/>
      <c r="E161" s="66"/>
      <c r="G161" s="3"/>
      <c r="H161" s="68"/>
      <c r="I161" s="68"/>
      <c r="J161" s="68"/>
      <c r="K161" s="68"/>
    </row>
    <row r="162" ht="13.5" customHeight="1" spans="1:11">
      <c r="A162" s="3"/>
      <c r="B162" s="66"/>
      <c r="C162" s="66"/>
      <c r="D162" s="66"/>
      <c r="E162" s="66"/>
      <c r="G162" s="3"/>
      <c r="H162" s="68"/>
      <c r="I162" s="68"/>
      <c r="J162" s="68"/>
      <c r="K162" s="68"/>
    </row>
    <row r="163" ht="13.5" customHeight="1" spans="1:11">
      <c r="A163" s="3"/>
      <c r="B163" s="66"/>
      <c r="C163" s="66"/>
      <c r="D163" s="66"/>
      <c r="E163" s="66"/>
      <c r="G163" s="3"/>
      <c r="H163" s="68"/>
      <c r="I163" s="68"/>
      <c r="J163" s="68"/>
      <c r="K163" s="68"/>
    </row>
    <row r="164" ht="13.5" customHeight="1" spans="1:11">
      <c r="A164" s="3"/>
      <c r="B164" s="66"/>
      <c r="C164" s="66"/>
      <c r="D164" s="66"/>
      <c r="E164" s="66"/>
      <c r="G164" s="3"/>
      <c r="H164" s="68"/>
      <c r="I164" s="68"/>
      <c r="J164" s="68"/>
      <c r="K164" s="68"/>
    </row>
    <row r="165" ht="13.5" customHeight="1" spans="1:11">
      <c r="A165" s="3"/>
      <c r="B165" s="66"/>
      <c r="C165" s="66"/>
      <c r="D165" s="66"/>
      <c r="E165" s="66"/>
      <c r="G165" s="3"/>
      <c r="H165" s="68"/>
      <c r="I165" s="68"/>
      <c r="J165" s="68"/>
      <c r="K165" s="68"/>
    </row>
    <row r="166" ht="13.5" customHeight="1" spans="1:11">
      <c r="A166" s="3"/>
      <c r="B166" s="66"/>
      <c r="C166" s="66"/>
      <c r="D166" s="66"/>
      <c r="E166" s="66"/>
      <c r="G166" s="3"/>
      <c r="H166" s="68"/>
      <c r="I166" s="68"/>
      <c r="J166" s="68"/>
      <c r="K166" s="68"/>
    </row>
    <row r="167" ht="13.5" customHeight="1" spans="1:11">
      <c r="A167" s="3"/>
      <c r="B167" s="66"/>
      <c r="C167" s="66"/>
      <c r="D167" s="66"/>
      <c r="E167" s="66"/>
      <c r="G167" s="3"/>
      <c r="H167" s="68"/>
      <c r="I167" s="68"/>
      <c r="J167" s="68"/>
      <c r="K167" s="68"/>
    </row>
    <row r="168" ht="13.5" customHeight="1" spans="1:11">
      <c r="A168" s="3"/>
      <c r="B168" s="66"/>
      <c r="C168" s="66"/>
      <c r="D168" s="66"/>
      <c r="E168" s="66"/>
      <c r="G168" s="3"/>
      <c r="H168" s="68"/>
      <c r="I168" s="68"/>
      <c r="J168" s="68"/>
      <c r="K168" s="68"/>
    </row>
    <row r="169" ht="13.5" customHeight="1" spans="1:11">
      <c r="A169" s="3"/>
      <c r="B169" s="66"/>
      <c r="C169" s="66"/>
      <c r="D169" s="66"/>
      <c r="E169" s="66"/>
      <c r="G169" s="3"/>
      <c r="H169" s="68"/>
      <c r="I169" s="68"/>
      <c r="J169" s="68"/>
      <c r="K169" s="68"/>
    </row>
    <row r="170" ht="13.5" customHeight="1" spans="1:11">
      <c r="A170" s="3"/>
      <c r="B170" s="66"/>
      <c r="C170" s="66"/>
      <c r="D170" s="66"/>
      <c r="E170" s="66"/>
      <c r="G170" s="3"/>
      <c r="H170" s="68"/>
      <c r="I170" s="68"/>
      <c r="J170" s="68"/>
      <c r="K170" s="68"/>
    </row>
    <row r="171" ht="13.5" customHeight="1" spans="1:11">
      <c r="A171" s="3"/>
      <c r="B171" s="66"/>
      <c r="C171" s="66"/>
      <c r="D171" s="66"/>
      <c r="E171" s="66"/>
      <c r="G171" s="3"/>
      <c r="H171" s="68"/>
      <c r="I171" s="68"/>
      <c r="J171" s="68"/>
      <c r="K171" s="68"/>
    </row>
    <row r="172" ht="13.5" customHeight="1" spans="1:11">
      <c r="A172" s="3"/>
      <c r="B172" s="66"/>
      <c r="C172" s="66"/>
      <c r="D172" s="66"/>
      <c r="E172" s="66"/>
      <c r="G172" s="3"/>
      <c r="H172" s="68"/>
      <c r="I172" s="68"/>
      <c r="J172" s="68"/>
      <c r="K172" s="68"/>
    </row>
    <row r="173" ht="13.5" customHeight="1" spans="1:11">
      <c r="A173" s="3"/>
      <c r="B173" s="66"/>
      <c r="C173" s="66"/>
      <c r="D173" s="66"/>
      <c r="E173" s="66"/>
      <c r="G173" s="3"/>
      <c r="H173" s="68"/>
      <c r="I173" s="68"/>
      <c r="J173" s="68"/>
      <c r="K173" s="68"/>
    </row>
    <row r="174" ht="13.5" customHeight="1" spans="1:11">
      <c r="A174" s="3"/>
      <c r="B174" s="66"/>
      <c r="C174" s="66"/>
      <c r="D174" s="66"/>
      <c r="E174" s="66"/>
      <c r="G174" s="3"/>
      <c r="H174" s="68"/>
      <c r="I174" s="68"/>
      <c r="J174" s="68"/>
      <c r="K174" s="68"/>
    </row>
    <row r="175" ht="13.5" customHeight="1" spans="1:11">
      <c r="A175" s="3"/>
      <c r="B175" s="66"/>
      <c r="C175" s="66"/>
      <c r="D175" s="66"/>
      <c r="E175" s="66"/>
      <c r="G175" s="3"/>
      <c r="H175" s="68"/>
      <c r="I175" s="68"/>
      <c r="J175" s="68"/>
      <c r="K175" s="68"/>
    </row>
    <row r="176" ht="13.5" customHeight="1" spans="1:11">
      <c r="A176" s="3"/>
      <c r="B176" s="66"/>
      <c r="C176" s="66"/>
      <c r="D176" s="66"/>
      <c r="E176" s="66"/>
      <c r="G176" s="3"/>
      <c r="H176" s="68"/>
      <c r="I176" s="68"/>
      <c r="J176" s="68"/>
      <c r="K176" s="68"/>
    </row>
    <row r="177" ht="13.5" customHeight="1" spans="1:11">
      <c r="A177" s="3"/>
      <c r="B177" s="66"/>
      <c r="C177" s="66"/>
      <c r="D177" s="66"/>
      <c r="E177" s="66"/>
      <c r="G177" s="3"/>
      <c r="H177" s="68"/>
      <c r="I177" s="68"/>
      <c r="J177" s="68"/>
      <c r="K177" s="68"/>
    </row>
    <row r="178" ht="13.5" customHeight="1" spans="1:11">
      <c r="A178" s="3"/>
      <c r="B178" s="66"/>
      <c r="C178" s="66"/>
      <c r="D178" s="66"/>
      <c r="E178" s="66"/>
      <c r="G178" s="3"/>
      <c r="H178" s="68"/>
      <c r="I178" s="68"/>
      <c r="J178" s="68"/>
      <c r="K178" s="68"/>
    </row>
    <row r="179" ht="13.5" customHeight="1" spans="1:11">
      <c r="A179" s="3"/>
      <c r="B179" s="66"/>
      <c r="C179" s="66"/>
      <c r="D179" s="66"/>
      <c r="E179" s="66"/>
      <c r="G179" s="3"/>
      <c r="H179" s="68"/>
      <c r="I179" s="68"/>
      <c r="J179" s="68"/>
      <c r="K179" s="68"/>
    </row>
    <row r="180" ht="13.5" customHeight="1" spans="1:11">
      <c r="A180" s="3"/>
      <c r="B180" s="66"/>
      <c r="C180" s="66"/>
      <c r="D180" s="66"/>
      <c r="E180" s="66"/>
      <c r="G180" s="3"/>
      <c r="H180" s="68"/>
      <c r="I180" s="68"/>
      <c r="J180" s="68"/>
      <c r="K180" s="68"/>
    </row>
    <row r="181" ht="13.5" customHeight="1" spans="1:11">
      <c r="A181" s="3"/>
      <c r="B181" s="66"/>
      <c r="C181" s="66"/>
      <c r="D181" s="66"/>
      <c r="E181" s="66"/>
      <c r="G181" s="3"/>
      <c r="H181" s="68"/>
      <c r="I181" s="68"/>
      <c r="J181" s="68"/>
      <c r="K181" s="68"/>
    </row>
    <row r="182" ht="13.5" customHeight="1" spans="1:11">
      <c r="A182" s="3"/>
      <c r="B182" s="66"/>
      <c r="C182" s="66"/>
      <c r="D182" s="66"/>
      <c r="E182" s="66"/>
      <c r="G182" s="3"/>
      <c r="H182" s="68"/>
      <c r="I182" s="68"/>
      <c r="J182" s="68"/>
      <c r="K182" s="68"/>
    </row>
    <row r="183" ht="13.5" customHeight="1" spans="1:11">
      <c r="A183" s="3"/>
      <c r="B183" s="66"/>
      <c r="C183" s="66"/>
      <c r="D183" s="66"/>
      <c r="E183" s="66"/>
      <c r="G183" s="3"/>
      <c r="H183" s="68"/>
      <c r="I183" s="68"/>
      <c r="J183" s="68"/>
      <c r="K183" s="68"/>
    </row>
    <row r="184" ht="13.5" customHeight="1" spans="1:11">
      <c r="A184" s="3"/>
      <c r="B184" s="66"/>
      <c r="C184" s="66"/>
      <c r="D184" s="66"/>
      <c r="E184" s="66"/>
      <c r="G184" s="3"/>
      <c r="H184" s="68"/>
      <c r="I184" s="68"/>
      <c r="J184" s="68"/>
      <c r="K184" s="68"/>
    </row>
    <row r="185" ht="13.5" customHeight="1" spans="1:11">
      <c r="A185" s="3"/>
      <c r="B185" s="66"/>
      <c r="C185" s="66"/>
      <c r="D185" s="66"/>
      <c r="E185" s="66"/>
      <c r="G185" s="3"/>
      <c r="H185" s="68"/>
      <c r="I185" s="68"/>
      <c r="J185" s="68"/>
      <c r="K185" s="68"/>
    </row>
    <row r="186" ht="13.5" customHeight="1" spans="1:11">
      <c r="A186" s="3"/>
      <c r="B186" s="66"/>
      <c r="C186" s="66"/>
      <c r="D186" s="66"/>
      <c r="E186" s="66"/>
      <c r="G186" s="3"/>
      <c r="H186" s="68"/>
      <c r="I186" s="68"/>
      <c r="J186" s="68"/>
      <c r="K186" s="68"/>
    </row>
    <row r="187" ht="13.5" customHeight="1" spans="1:11">
      <c r="A187" s="3"/>
      <c r="B187" s="66"/>
      <c r="C187" s="66"/>
      <c r="D187" s="66"/>
      <c r="E187" s="66"/>
      <c r="G187" s="3"/>
      <c r="H187" s="68"/>
      <c r="I187" s="68"/>
      <c r="J187" s="68"/>
      <c r="K187" s="68"/>
    </row>
    <row r="188" ht="13.5" customHeight="1" spans="1:11">
      <c r="A188" s="3"/>
      <c r="B188" s="66"/>
      <c r="C188" s="66"/>
      <c r="D188" s="66"/>
      <c r="E188" s="66"/>
      <c r="G188" s="3"/>
      <c r="H188" s="68"/>
      <c r="I188" s="68"/>
      <c r="J188" s="68"/>
      <c r="K188" s="68"/>
    </row>
    <row r="189" ht="13.5" customHeight="1" spans="1:11">
      <c r="A189" s="3"/>
      <c r="B189" s="66"/>
      <c r="C189" s="66"/>
      <c r="D189" s="66"/>
      <c r="E189" s="66"/>
      <c r="G189" s="3"/>
      <c r="H189" s="68"/>
      <c r="I189" s="68"/>
      <c r="J189" s="68"/>
      <c r="K189" s="68"/>
    </row>
    <row r="190" ht="13.5" customHeight="1" spans="1:11">
      <c r="A190" s="3"/>
      <c r="B190" s="66"/>
      <c r="C190" s="66"/>
      <c r="D190" s="66"/>
      <c r="E190" s="66"/>
      <c r="G190" s="3"/>
      <c r="H190" s="68"/>
      <c r="I190" s="68"/>
      <c r="J190" s="68"/>
      <c r="K190" s="68"/>
    </row>
    <row r="191" ht="13.5" customHeight="1" spans="1:11">
      <c r="A191" s="3"/>
      <c r="B191" s="66"/>
      <c r="C191" s="66"/>
      <c r="D191" s="66"/>
      <c r="E191" s="66"/>
      <c r="G191" s="3"/>
      <c r="H191" s="68"/>
      <c r="I191" s="68"/>
      <c r="J191" s="68"/>
      <c r="K191" s="68"/>
    </row>
    <row r="192" ht="13.5" customHeight="1" spans="1:11">
      <c r="A192" s="3"/>
      <c r="B192" s="66"/>
      <c r="C192" s="66"/>
      <c r="D192" s="66"/>
      <c r="E192" s="66"/>
      <c r="G192" s="3"/>
      <c r="H192" s="68"/>
      <c r="I192" s="68"/>
      <c r="J192" s="68"/>
      <c r="K192" s="68"/>
    </row>
    <row r="193" ht="13.5" customHeight="1" spans="1:11">
      <c r="A193" s="3"/>
      <c r="B193" s="66"/>
      <c r="C193" s="66"/>
      <c r="D193" s="66"/>
      <c r="E193" s="66"/>
      <c r="G193" s="3"/>
      <c r="H193" s="68"/>
      <c r="I193" s="68"/>
      <c r="J193" s="68"/>
      <c r="K193" s="68"/>
    </row>
    <row r="194" ht="13.5" customHeight="1" spans="1:11">
      <c r="A194" s="3"/>
      <c r="B194" s="66"/>
      <c r="C194" s="66"/>
      <c r="D194" s="66"/>
      <c r="E194" s="66"/>
      <c r="G194" s="3"/>
      <c r="H194" s="68"/>
      <c r="I194" s="68"/>
      <c r="J194" s="68"/>
      <c r="K194" s="68"/>
    </row>
    <row r="195" ht="13.5" customHeight="1" spans="1:11">
      <c r="A195" s="3"/>
      <c r="B195" s="66"/>
      <c r="C195" s="66"/>
      <c r="D195" s="66"/>
      <c r="E195" s="66"/>
      <c r="G195" s="3"/>
      <c r="H195" s="68"/>
      <c r="I195" s="68"/>
      <c r="J195" s="68"/>
      <c r="K195" s="68"/>
    </row>
    <row r="196" ht="13.5" customHeight="1" spans="1:11">
      <c r="A196" s="3"/>
      <c r="B196" s="66"/>
      <c r="C196" s="66"/>
      <c r="D196" s="66"/>
      <c r="E196" s="66"/>
      <c r="G196" s="3"/>
      <c r="H196" s="68"/>
      <c r="I196" s="68"/>
      <c r="J196" s="68"/>
      <c r="K196" s="68"/>
    </row>
    <row r="197" ht="13.5" customHeight="1" spans="1:11">
      <c r="A197" s="3"/>
      <c r="B197" s="66"/>
      <c r="C197" s="66"/>
      <c r="D197" s="66"/>
      <c r="E197" s="66"/>
      <c r="G197" s="3"/>
      <c r="H197" s="68"/>
      <c r="I197" s="68"/>
      <c r="J197" s="68"/>
      <c r="K197" s="68"/>
    </row>
    <row r="198" ht="13.5" customHeight="1" spans="1:11">
      <c r="A198" s="3"/>
      <c r="B198" s="66"/>
      <c r="C198" s="66"/>
      <c r="D198" s="66"/>
      <c r="E198" s="66"/>
      <c r="G198" s="3"/>
      <c r="H198" s="68"/>
      <c r="I198" s="68"/>
      <c r="J198" s="68"/>
      <c r="K198" s="68"/>
    </row>
    <row r="199" ht="13.5" customHeight="1" spans="1:11">
      <c r="A199" s="3"/>
      <c r="B199" s="66"/>
      <c r="C199" s="66"/>
      <c r="D199" s="66"/>
      <c r="E199" s="66"/>
      <c r="G199" s="3"/>
      <c r="H199" s="68"/>
      <c r="I199" s="68"/>
      <c r="J199" s="68"/>
      <c r="K199" s="68"/>
    </row>
    <row r="200" ht="13.5" customHeight="1" spans="1:11">
      <c r="A200" s="3"/>
      <c r="B200" s="66"/>
      <c r="C200" s="66"/>
      <c r="D200" s="66"/>
      <c r="E200" s="66"/>
      <c r="G200" s="3"/>
      <c r="H200" s="68"/>
      <c r="I200" s="68"/>
      <c r="J200" s="68"/>
      <c r="K200" s="68"/>
    </row>
    <row r="201" spans="1:11">
      <c r="A201" s="3"/>
      <c r="B201" s="66"/>
      <c r="C201" s="66"/>
      <c r="D201" s="66"/>
      <c r="E201" s="66"/>
      <c r="G201" s="3"/>
      <c r="H201" s="68"/>
      <c r="I201" s="68"/>
      <c r="J201" s="68"/>
      <c r="K201" s="68"/>
    </row>
    <row r="202" spans="1:11">
      <c r="A202" s="3"/>
      <c r="B202" s="66"/>
      <c r="C202" s="66"/>
      <c r="D202" s="66"/>
      <c r="E202" s="66"/>
      <c r="G202" s="3"/>
      <c r="H202" s="68"/>
      <c r="I202" s="68"/>
      <c r="J202" s="68"/>
      <c r="K202" s="68"/>
    </row>
    <row r="203" spans="1:11">
      <c r="A203" s="3"/>
      <c r="B203" s="66"/>
      <c r="C203" s="66"/>
      <c r="D203" s="66"/>
      <c r="E203" s="66"/>
      <c r="G203" s="3"/>
      <c r="H203" s="68"/>
      <c r="I203" s="68"/>
      <c r="J203" s="68"/>
      <c r="K203" s="68"/>
    </row>
    <row r="204" spans="1:11">
      <c r="A204" s="3"/>
      <c r="B204" s="66"/>
      <c r="C204" s="66"/>
      <c r="D204" s="66"/>
      <c r="E204" s="66"/>
      <c r="G204" s="3"/>
      <c r="H204" s="68"/>
      <c r="I204" s="68"/>
      <c r="J204" s="68"/>
      <c r="K204" s="68"/>
    </row>
    <row r="205" spans="1:11">
      <c r="A205" s="3"/>
      <c r="B205" s="66"/>
      <c r="C205" s="66"/>
      <c r="D205" s="66"/>
      <c r="E205" s="66"/>
      <c r="G205" s="3"/>
      <c r="H205" s="68"/>
      <c r="I205" s="68"/>
      <c r="J205" s="68"/>
      <c r="K205" s="68"/>
    </row>
    <row r="206" spans="1:11">
      <c r="A206" s="3"/>
      <c r="B206" s="66"/>
      <c r="C206" s="66"/>
      <c r="D206" s="66"/>
      <c r="E206" s="66"/>
      <c r="G206" s="3"/>
      <c r="H206" s="68"/>
      <c r="I206" s="68"/>
      <c r="J206" s="68"/>
      <c r="K206" s="68"/>
    </row>
    <row r="207" spans="1:11">
      <c r="A207" s="3"/>
      <c r="B207" s="66"/>
      <c r="C207" s="66"/>
      <c r="D207" s="66"/>
      <c r="E207" s="66"/>
      <c r="G207" s="3"/>
      <c r="H207" s="68"/>
      <c r="I207" s="68"/>
      <c r="J207" s="68"/>
      <c r="K207" s="68"/>
    </row>
    <row r="208" spans="1:11">
      <c r="A208" s="3"/>
      <c r="B208" s="66"/>
      <c r="C208" s="66"/>
      <c r="D208" s="66"/>
      <c r="E208" s="66"/>
      <c r="G208" s="3"/>
      <c r="H208" s="68"/>
      <c r="I208" s="68"/>
      <c r="J208" s="68"/>
      <c r="K208" s="68"/>
    </row>
    <row r="209" spans="1:11">
      <c r="A209" s="3"/>
      <c r="B209" s="66"/>
      <c r="C209" s="66"/>
      <c r="D209" s="66"/>
      <c r="E209" s="66"/>
      <c r="G209" s="3"/>
      <c r="H209" s="68"/>
      <c r="I209" s="68"/>
      <c r="J209" s="68"/>
      <c r="K209" s="68"/>
    </row>
    <row r="210" spans="1:11">
      <c r="A210" s="3"/>
      <c r="B210" s="66"/>
      <c r="C210" s="66"/>
      <c r="D210" s="66"/>
      <c r="E210" s="66"/>
      <c r="G210" s="3"/>
      <c r="H210" s="68"/>
      <c r="I210" s="68"/>
      <c r="J210" s="68"/>
      <c r="K210" s="68"/>
    </row>
    <row r="211" spans="1:11">
      <c r="A211" s="3"/>
      <c r="B211" s="66"/>
      <c r="C211" s="66"/>
      <c r="D211" s="66"/>
      <c r="E211" s="66"/>
      <c r="G211" s="3"/>
      <c r="H211" s="68"/>
      <c r="I211" s="68"/>
      <c r="J211" s="68"/>
      <c r="K211" s="68"/>
    </row>
    <row r="212" spans="1:11">
      <c r="A212" s="3"/>
      <c r="B212" s="66"/>
      <c r="C212" s="66"/>
      <c r="D212" s="66"/>
      <c r="E212" s="66"/>
      <c r="G212" s="3"/>
      <c r="H212" s="68"/>
      <c r="I212" s="68"/>
      <c r="J212" s="68"/>
      <c r="K212" s="68"/>
    </row>
    <row r="213" spans="1:11">
      <c r="A213" s="3"/>
      <c r="B213" s="66"/>
      <c r="C213" s="66"/>
      <c r="D213" s="66"/>
      <c r="E213" s="66"/>
      <c r="G213" s="3"/>
      <c r="H213" s="68"/>
      <c r="I213" s="68"/>
      <c r="J213" s="68"/>
      <c r="K213" s="68"/>
    </row>
    <row r="214" spans="1:11">
      <c r="A214" s="3"/>
      <c r="B214" s="66"/>
      <c r="C214" s="66"/>
      <c r="D214" s="66"/>
      <c r="E214" s="66"/>
      <c r="G214" s="3"/>
      <c r="H214" s="68"/>
      <c r="I214" s="68"/>
      <c r="J214" s="68"/>
      <c r="K214" s="68"/>
    </row>
    <row r="215" spans="1:11">
      <c r="A215" s="3"/>
      <c r="B215" s="66"/>
      <c r="C215" s="66"/>
      <c r="D215" s="66"/>
      <c r="E215" s="66"/>
      <c r="G215" s="3"/>
      <c r="H215" s="68"/>
      <c r="I215" s="68"/>
      <c r="J215" s="68"/>
      <c r="K215" s="68"/>
    </row>
    <row r="216" spans="1:11">
      <c r="A216" s="3"/>
      <c r="B216" s="66"/>
      <c r="C216" s="66"/>
      <c r="D216" s="66"/>
      <c r="E216" s="66"/>
      <c r="G216" s="3"/>
      <c r="H216" s="68"/>
      <c r="I216" s="68"/>
      <c r="J216" s="68"/>
      <c r="K216" s="68"/>
    </row>
    <row r="217" spans="1:11">
      <c r="A217" s="3"/>
      <c r="B217" s="66"/>
      <c r="C217" s="66"/>
      <c r="D217" s="66"/>
      <c r="E217" s="66"/>
      <c r="G217" s="3"/>
      <c r="H217" s="68"/>
      <c r="I217" s="68"/>
      <c r="J217" s="68"/>
      <c r="K217" s="68"/>
    </row>
    <row r="218" spans="1:11">
      <c r="A218" s="3"/>
      <c r="B218" s="66"/>
      <c r="C218" s="66"/>
      <c r="D218" s="66"/>
      <c r="E218" s="66"/>
      <c r="G218" s="3"/>
      <c r="H218" s="68"/>
      <c r="I218" s="68"/>
      <c r="J218" s="68"/>
      <c r="K218" s="68"/>
    </row>
    <row r="219" spans="1:11">
      <c r="A219" s="3"/>
      <c r="B219" s="66"/>
      <c r="C219" s="66"/>
      <c r="D219" s="66"/>
      <c r="E219" s="66"/>
      <c r="G219" s="3"/>
      <c r="H219" s="68"/>
      <c r="I219" s="68"/>
      <c r="J219" s="68"/>
      <c r="K219" s="68"/>
    </row>
    <row r="220" spans="1:11">
      <c r="A220" s="3"/>
      <c r="B220" s="66"/>
      <c r="C220" s="66"/>
      <c r="D220" s="66"/>
      <c r="E220" s="66"/>
      <c r="G220" s="3"/>
      <c r="H220" s="68"/>
      <c r="I220" s="68"/>
      <c r="J220" s="68"/>
      <c r="K220" s="68"/>
    </row>
    <row r="221" spans="1:11">
      <c r="A221" s="3"/>
      <c r="B221" s="66"/>
      <c r="C221" s="66"/>
      <c r="D221" s="66"/>
      <c r="E221" s="66"/>
      <c r="G221" s="3"/>
      <c r="H221" s="68"/>
      <c r="I221" s="68"/>
      <c r="J221" s="68"/>
      <c r="K221" s="68"/>
    </row>
    <row r="222" spans="1:11">
      <c r="A222" s="3"/>
      <c r="B222" s="66"/>
      <c r="C222" s="66"/>
      <c r="D222" s="66"/>
      <c r="E222" s="66"/>
      <c r="G222" s="3"/>
      <c r="H222" s="68"/>
      <c r="I222" s="68"/>
      <c r="J222" s="68"/>
      <c r="K222" s="68"/>
    </row>
    <row r="223" spans="1:11">
      <c r="A223" s="3"/>
      <c r="B223" s="66"/>
      <c r="C223" s="66"/>
      <c r="D223" s="66"/>
      <c r="E223" s="66"/>
      <c r="G223" s="3"/>
      <c r="H223" s="68"/>
      <c r="I223" s="68"/>
      <c r="J223" s="68"/>
      <c r="K223" s="68"/>
    </row>
    <row r="224" spans="1:11">
      <c r="A224" s="3"/>
      <c r="B224" s="66"/>
      <c r="C224" s="66"/>
      <c r="D224" s="66"/>
      <c r="E224" s="66"/>
      <c r="G224" s="3"/>
      <c r="H224" s="68"/>
      <c r="I224" s="68"/>
      <c r="J224" s="68"/>
      <c r="K224" s="68"/>
    </row>
    <row r="225" spans="1:11">
      <c r="A225" s="3"/>
      <c r="B225" s="66"/>
      <c r="C225" s="66"/>
      <c r="D225" s="66"/>
      <c r="E225" s="66"/>
      <c r="G225" s="3"/>
      <c r="H225" s="68"/>
      <c r="I225" s="68"/>
      <c r="J225" s="68"/>
      <c r="K225" s="68"/>
    </row>
    <row r="226" spans="1:11">
      <c r="A226" s="3"/>
      <c r="B226" s="66"/>
      <c r="C226" s="66"/>
      <c r="D226" s="66"/>
      <c r="E226" s="66"/>
      <c r="G226" s="3"/>
      <c r="H226" s="68"/>
      <c r="I226" s="68"/>
      <c r="J226" s="68"/>
      <c r="K226" s="68"/>
    </row>
    <row r="227" spans="1:11">
      <c r="A227" s="3"/>
      <c r="B227" s="66"/>
      <c r="C227" s="66"/>
      <c r="D227" s="66"/>
      <c r="E227" s="66"/>
      <c r="G227" s="3"/>
      <c r="H227" s="68"/>
      <c r="I227" s="68"/>
      <c r="J227" s="68"/>
      <c r="K227" s="68"/>
    </row>
    <row r="228" spans="1:11">
      <c r="A228" s="3"/>
      <c r="B228" s="66"/>
      <c r="C228" s="66"/>
      <c r="D228" s="66"/>
      <c r="E228" s="66"/>
      <c r="G228" s="3"/>
      <c r="H228" s="68"/>
      <c r="I228" s="68"/>
      <c r="J228" s="68"/>
      <c r="K228" s="68"/>
    </row>
    <row r="229" spans="1:11">
      <c r="A229" s="3"/>
      <c r="B229" s="66"/>
      <c r="C229" s="66"/>
      <c r="D229" s="66"/>
      <c r="E229" s="66"/>
      <c r="G229" s="3"/>
      <c r="H229" s="68"/>
      <c r="I229" s="68"/>
      <c r="J229" s="68"/>
      <c r="K229" s="68"/>
    </row>
    <row r="230" spans="1:11">
      <c r="A230" s="3"/>
      <c r="B230" s="66"/>
      <c r="C230" s="66"/>
      <c r="D230" s="66"/>
      <c r="E230" s="66"/>
      <c r="G230" s="3"/>
      <c r="H230" s="68"/>
      <c r="I230" s="68"/>
      <c r="J230" s="68"/>
      <c r="K230" s="68"/>
    </row>
    <row r="231" spans="1:11">
      <c r="A231" s="3"/>
      <c r="B231" s="66"/>
      <c r="C231" s="66"/>
      <c r="D231" s="66"/>
      <c r="E231" s="66"/>
      <c r="G231" s="3"/>
      <c r="H231" s="68"/>
      <c r="I231" s="68"/>
      <c r="J231" s="68"/>
      <c r="K231" s="68"/>
    </row>
    <row r="232" spans="1:11">
      <c r="A232" s="3"/>
      <c r="B232" s="66"/>
      <c r="C232" s="66"/>
      <c r="D232" s="66"/>
      <c r="E232" s="66"/>
      <c r="G232" s="3"/>
      <c r="H232" s="68"/>
      <c r="I232" s="68"/>
      <c r="J232" s="68"/>
      <c r="K232" s="68"/>
    </row>
    <row r="233" spans="1:11">
      <c r="A233" s="3"/>
      <c r="B233" s="66"/>
      <c r="C233" s="66"/>
      <c r="D233" s="66"/>
      <c r="E233" s="66"/>
      <c r="G233" s="3"/>
      <c r="H233" s="68"/>
      <c r="I233" s="68"/>
      <c r="J233" s="68"/>
      <c r="K233" s="68"/>
    </row>
    <row r="234" spans="1:11">
      <c r="A234" s="3"/>
      <c r="B234" s="66"/>
      <c r="C234" s="66"/>
      <c r="D234" s="66"/>
      <c r="E234" s="66"/>
      <c r="G234" s="3"/>
      <c r="H234" s="68"/>
      <c r="I234" s="68"/>
      <c r="J234" s="68"/>
      <c r="K234" s="68"/>
    </row>
    <row r="235" spans="1:11">
      <c r="A235" s="3"/>
      <c r="B235" s="66"/>
      <c r="C235" s="66"/>
      <c r="D235" s="66"/>
      <c r="E235" s="66"/>
      <c r="G235" s="3"/>
      <c r="H235" s="68"/>
      <c r="I235" s="68"/>
      <c r="J235" s="68"/>
      <c r="K235" s="68"/>
    </row>
    <row r="236" spans="1:11">
      <c r="A236" s="3"/>
      <c r="B236" s="66"/>
      <c r="C236" s="66"/>
      <c r="D236" s="66"/>
      <c r="E236" s="66"/>
      <c r="G236" s="3"/>
      <c r="H236" s="68"/>
      <c r="I236" s="68"/>
      <c r="J236" s="68"/>
      <c r="K236" s="68"/>
    </row>
    <row r="237" spans="1:11">
      <c r="A237" s="3"/>
      <c r="B237" s="66"/>
      <c r="C237" s="66"/>
      <c r="D237" s="66"/>
      <c r="E237" s="66"/>
      <c r="G237" s="3"/>
      <c r="H237" s="68"/>
      <c r="I237" s="68"/>
      <c r="J237" s="68"/>
      <c r="K237" s="68"/>
    </row>
    <row r="238" spans="1:11">
      <c r="A238" s="3"/>
      <c r="B238" s="66"/>
      <c r="C238" s="66"/>
      <c r="D238" s="66"/>
      <c r="E238" s="66"/>
      <c r="G238" s="3"/>
      <c r="H238" s="68"/>
      <c r="I238" s="68"/>
      <c r="J238" s="68"/>
      <c r="K238" s="68"/>
    </row>
    <row r="239" spans="1:11">
      <c r="A239" s="3"/>
      <c r="B239" s="66"/>
      <c r="C239" s="66"/>
      <c r="D239" s="66"/>
      <c r="E239" s="66"/>
      <c r="G239" s="3"/>
      <c r="H239" s="68"/>
      <c r="I239" s="68"/>
      <c r="J239" s="68"/>
      <c r="K239" s="68"/>
    </row>
    <row r="240" spans="1:11">
      <c r="A240" s="3"/>
      <c r="B240" s="66"/>
      <c r="C240" s="66"/>
      <c r="D240" s="66"/>
      <c r="E240" s="66"/>
      <c r="G240" s="3"/>
      <c r="H240" s="68"/>
      <c r="I240" s="68"/>
      <c r="J240" s="68"/>
      <c r="K240" s="68"/>
    </row>
    <row r="241" spans="1:11">
      <c r="A241" s="3"/>
      <c r="B241" s="66"/>
      <c r="C241" s="66"/>
      <c r="D241" s="66"/>
      <c r="E241" s="66"/>
      <c r="G241" s="3"/>
      <c r="H241" s="68"/>
      <c r="I241" s="68"/>
      <c r="J241" s="68"/>
      <c r="K241" s="68"/>
    </row>
    <row r="242" spans="1:11">
      <c r="A242" s="3"/>
      <c r="B242" s="66"/>
      <c r="C242" s="66"/>
      <c r="D242" s="66"/>
      <c r="E242" s="66"/>
      <c r="G242" s="3"/>
      <c r="H242" s="68"/>
      <c r="I242" s="68"/>
      <c r="J242" s="68"/>
      <c r="K242" s="68"/>
    </row>
    <row r="243" spans="1:11">
      <c r="A243" s="3"/>
      <c r="B243" s="66"/>
      <c r="C243" s="66"/>
      <c r="D243" s="66"/>
      <c r="E243" s="66"/>
      <c r="G243" s="3"/>
      <c r="H243" s="68"/>
      <c r="I243" s="68"/>
      <c r="J243" s="68"/>
      <c r="K243" s="68"/>
    </row>
    <row r="244" spans="1:11">
      <c r="A244" s="3"/>
      <c r="B244" s="66"/>
      <c r="C244" s="66"/>
      <c r="D244" s="66"/>
      <c r="E244" s="66"/>
      <c r="G244" s="3"/>
      <c r="H244" s="68"/>
      <c r="I244" s="68"/>
      <c r="J244" s="68"/>
      <c r="K244" s="68"/>
    </row>
    <row r="245" spans="1:11">
      <c r="A245" s="3"/>
      <c r="B245" s="66"/>
      <c r="C245" s="66"/>
      <c r="D245" s="66"/>
      <c r="E245" s="66"/>
      <c r="G245" s="3"/>
      <c r="H245" s="68"/>
      <c r="I245" s="68"/>
      <c r="J245" s="68"/>
      <c r="K245" s="68"/>
    </row>
    <row r="246" spans="1:11">
      <c r="A246" s="3"/>
      <c r="B246" s="66"/>
      <c r="C246" s="66"/>
      <c r="D246" s="66"/>
      <c r="E246" s="66"/>
      <c r="G246" s="3"/>
      <c r="H246" s="68"/>
      <c r="I246" s="68"/>
      <c r="J246" s="68"/>
      <c r="K246" s="68"/>
    </row>
    <row r="247" spans="1:11">
      <c r="A247" s="3"/>
      <c r="B247" s="66"/>
      <c r="C247" s="66"/>
      <c r="D247" s="66"/>
      <c r="E247" s="66"/>
      <c r="G247" s="3"/>
      <c r="H247" s="68"/>
      <c r="I247" s="68"/>
      <c r="J247" s="68"/>
      <c r="K247" s="68"/>
    </row>
    <row r="248" spans="1:11">
      <c r="A248" s="3"/>
      <c r="B248" s="66"/>
      <c r="C248" s="66"/>
      <c r="D248" s="66"/>
      <c r="E248" s="66"/>
      <c r="G248" s="3"/>
      <c r="H248" s="68"/>
      <c r="I248" s="68"/>
      <c r="J248" s="68"/>
      <c r="K248" s="68"/>
    </row>
    <row r="249" spans="1:11">
      <c r="A249" s="3"/>
      <c r="B249" s="66"/>
      <c r="C249" s="66"/>
      <c r="D249" s="66"/>
      <c r="E249" s="66"/>
      <c r="G249" s="3"/>
      <c r="H249" s="68"/>
      <c r="I249" s="68"/>
      <c r="J249" s="68"/>
      <c r="K249" s="68"/>
    </row>
    <row r="250" spans="1:11">
      <c r="A250" s="3"/>
      <c r="B250" s="66"/>
      <c r="C250" s="66"/>
      <c r="D250" s="66"/>
      <c r="E250" s="66"/>
      <c r="G250" s="3"/>
      <c r="H250" s="68"/>
      <c r="I250" s="68"/>
      <c r="J250" s="68"/>
      <c r="K250" s="68"/>
    </row>
    <row r="251" spans="1:11">
      <c r="A251" s="3"/>
      <c r="B251" s="66"/>
      <c r="C251" s="66"/>
      <c r="D251" s="66"/>
      <c r="E251" s="66"/>
      <c r="G251" s="3"/>
      <c r="H251" s="68"/>
      <c r="I251" s="68"/>
      <c r="J251" s="68"/>
      <c r="K251" s="68"/>
    </row>
    <row r="252" spans="1:11">
      <c r="A252" s="3"/>
      <c r="B252" s="66"/>
      <c r="C252" s="66"/>
      <c r="D252" s="66"/>
      <c r="E252" s="66"/>
      <c r="G252" s="3"/>
      <c r="H252" s="68"/>
      <c r="I252" s="68"/>
      <c r="J252" s="68"/>
      <c r="K252" s="68"/>
    </row>
    <row r="253" spans="1:11">
      <c r="A253" s="3"/>
      <c r="B253" s="66"/>
      <c r="C253" s="66"/>
      <c r="D253" s="66"/>
      <c r="E253" s="66"/>
      <c r="G253" s="3"/>
      <c r="H253" s="68"/>
      <c r="I253" s="68"/>
      <c r="J253" s="68"/>
      <c r="K253" s="68"/>
    </row>
    <row r="254" spans="1:11">
      <c r="A254" s="3"/>
      <c r="B254" s="66"/>
      <c r="C254" s="66"/>
      <c r="D254" s="66"/>
      <c r="E254" s="66"/>
      <c r="G254" s="3"/>
      <c r="H254" s="68"/>
      <c r="I254" s="68"/>
      <c r="J254" s="68"/>
      <c r="K254" s="68"/>
    </row>
    <row r="255" spans="1:11">
      <c r="A255" s="3"/>
      <c r="B255" s="66"/>
      <c r="C255" s="66"/>
      <c r="D255" s="66"/>
      <c r="E255" s="66"/>
      <c r="G255" s="3"/>
      <c r="H255" s="68"/>
      <c r="I255" s="68"/>
      <c r="J255" s="68"/>
      <c r="K255" s="68"/>
    </row>
    <row r="256" spans="1:11">
      <c r="A256" s="3"/>
      <c r="B256" s="66"/>
      <c r="C256" s="66"/>
      <c r="D256" s="66"/>
      <c r="E256" s="66"/>
      <c r="G256" s="3"/>
      <c r="H256" s="68"/>
      <c r="I256" s="68"/>
      <c r="J256" s="68"/>
      <c r="K256" s="68"/>
    </row>
    <row r="257" spans="1:11">
      <c r="A257" s="3"/>
      <c r="B257" s="66"/>
      <c r="C257" s="66"/>
      <c r="D257" s="66"/>
      <c r="E257" s="66"/>
      <c r="G257" s="3"/>
      <c r="H257" s="68"/>
      <c r="I257" s="68"/>
      <c r="J257" s="68"/>
      <c r="K257" s="68"/>
    </row>
    <row r="258" spans="1:11">
      <c r="A258" s="3"/>
      <c r="B258" s="66"/>
      <c r="C258" s="66"/>
      <c r="D258" s="66"/>
      <c r="E258" s="66"/>
      <c r="G258" s="3"/>
      <c r="H258" s="68"/>
      <c r="I258" s="68"/>
      <c r="J258" s="68"/>
      <c r="K258" s="68"/>
    </row>
    <row r="259" spans="1:11">
      <c r="A259" s="3"/>
      <c r="B259" s="66"/>
      <c r="C259" s="66"/>
      <c r="D259" s="66"/>
      <c r="E259" s="66"/>
      <c r="G259" s="3"/>
      <c r="H259" s="68"/>
      <c r="I259" s="68"/>
      <c r="J259" s="68"/>
      <c r="K259" s="68"/>
    </row>
    <row r="260" spans="1:11">
      <c r="A260" s="3"/>
      <c r="B260" s="66"/>
      <c r="C260" s="66"/>
      <c r="D260" s="66"/>
      <c r="E260" s="66"/>
      <c r="G260" s="3"/>
      <c r="H260" s="68"/>
      <c r="I260" s="68"/>
      <c r="J260" s="68"/>
      <c r="K260" s="68"/>
    </row>
    <row r="261" spans="1:11">
      <c r="A261" s="3"/>
      <c r="B261" s="66"/>
      <c r="C261" s="66"/>
      <c r="D261" s="66"/>
      <c r="E261" s="66"/>
      <c r="G261" s="3"/>
      <c r="H261" s="68"/>
      <c r="I261" s="68"/>
      <c r="J261" s="68"/>
      <c r="K261" s="68"/>
    </row>
    <row r="262" spans="1:11">
      <c r="A262" s="3"/>
      <c r="B262" s="66"/>
      <c r="C262" s="66"/>
      <c r="D262" s="66"/>
      <c r="E262" s="66"/>
      <c r="G262" s="3"/>
      <c r="H262" s="68"/>
      <c r="I262" s="68"/>
      <c r="J262" s="68"/>
      <c r="K262" s="68"/>
    </row>
    <row r="263" spans="1:11">
      <c r="A263" s="3"/>
      <c r="B263" s="66"/>
      <c r="C263" s="66"/>
      <c r="D263" s="66"/>
      <c r="E263" s="66"/>
      <c r="G263" s="3"/>
      <c r="H263" s="68"/>
      <c r="I263" s="68"/>
      <c r="J263" s="68"/>
      <c r="K263" s="68"/>
    </row>
    <row r="264" spans="1:11">
      <c r="A264" s="3"/>
      <c r="B264" s="66"/>
      <c r="C264" s="66"/>
      <c r="D264" s="66"/>
      <c r="E264" s="66"/>
      <c r="G264" s="3"/>
      <c r="H264" s="68"/>
      <c r="I264" s="68"/>
      <c r="J264" s="68"/>
      <c r="K264" s="68"/>
    </row>
    <row r="265" spans="1:11">
      <c r="A265" s="3"/>
      <c r="B265" s="66"/>
      <c r="C265" s="66"/>
      <c r="D265" s="66"/>
      <c r="E265" s="66"/>
      <c r="G265" s="3"/>
      <c r="H265" s="68"/>
      <c r="I265" s="68"/>
      <c r="J265" s="68"/>
      <c r="K265" s="68"/>
    </row>
    <row r="266" spans="1:11">
      <c r="A266" s="3"/>
      <c r="B266" s="66"/>
      <c r="C266" s="66"/>
      <c r="D266" s="66"/>
      <c r="E266" s="66"/>
      <c r="G266" s="3"/>
      <c r="H266" s="68"/>
      <c r="I266" s="68"/>
      <c r="J266" s="68"/>
      <c r="K266" s="68"/>
    </row>
    <row r="267" spans="1:11">
      <c r="A267" s="3"/>
      <c r="B267" s="66"/>
      <c r="C267" s="66"/>
      <c r="D267" s="66"/>
      <c r="E267" s="66"/>
      <c r="G267" s="3"/>
      <c r="H267" s="68"/>
      <c r="I267" s="68"/>
      <c r="J267" s="68"/>
      <c r="K267" s="68"/>
    </row>
    <row r="268" spans="1:11">
      <c r="A268" s="3"/>
      <c r="B268" s="66"/>
      <c r="C268" s="66"/>
      <c r="D268" s="66"/>
      <c r="E268" s="66"/>
      <c r="G268" s="3"/>
      <c r="H268" s="68"/>
      <c r="I268" s="68"/>
      <c r="J268" s="68"/>
      <c r="K268" s="68"/>
    </row>
    <row r="269" spans="1:11">
      <c r="A269" s="3"/>
      <c r="B269" s="66"/>
      <c r="C269" s="66"/>
      <c r="D269" s="66"/>
      <c r="E269" s="66"/>
      <c r="G269" s="3"/>
      <c r="H269" s="68"/>
      <c r="I269" s="68"/>
      <c r="J269" s="68"/>
      <c r="K269" s="68"/>
    </row>
    <row r="270" spans="1:11">
      <c r="A270" s="3"/>
      <c r="B270" s="66"/>
      <c r="C270" s="66"/>
      <c r="D270" s="66"/>
      <c r="E270" s="66"/>
      <c r="G270" s="3"/>
      <c r="H270" s="68"/>
      <c r="I270" s="68"/>
      <c r="J270" s="68"/>
      <c r="K270" s="68"/>
    </row>
    <row r="271" spans="1:11">
      <c r="A271" s="3"/>
      <c r="B271" s="66"/>
      <c r="C271" s="66"/>
      <c r="D271" s="66"/>
      <c r="E271" s="66"/>
      <c r="G271" s="3"/>
      <c r="H271" s="68"/>
      <c r="I271" s="68"/>
      <c r="J271" s="68"/>
      <c r="K271" s="68"/>
    </row>
    <row r="272" spans="1:11">
      <c r="A272" s="3"/>
      <c r="B272" s="66"/>
      <c r="C272" s="66"/>
      <c r="D272" s="66"/>
      <c r="E272" s="66"/>
      <c r="G272" s="3"/>
      <c r="H272" s="68"/>
      <c r="I272" s="68"/>
      <c r="J272" s="68"/>
      <c r="K272" s="68"/>
    </row>
    <row r="273" spans="1:11">
      <c r="A273" s="3"/>
      <c r="B273" s="66"/>
      <c r="C273" s="66"/>
      <c r="D273" s="66"/>
      <c r="E273" s="66"/>
      <c r="G273" s="3"/>
      <c r="H273" s="68"/>
      <c r="I273" s="68"/>
      <c r="J273" s="68"/>
      <c r="K273" s="68"/>
    </row>
    <row r="274" spans="1:11">
      <c r="A274" s="3"/>
      <c r="B274" s="66"/>
      <c r="C274" s="66"/>
      <c r="D274" s="66"/>
      <c r="E274" s="66"/>
      <c r="G274" s="3"/>
      <c r="H274" s="68"/>
      <c r="I274" s="68"/>
      <c r="J274" s="68"/>
      <c r="K274" s="68"/>
    </row>
    <row r="275" spans="1:11">
      <c r="A275" s="3"/>
      <c r="B275" s="66"/>
      <c r="C275" s="66"/>
      <c r="D275" s="66"/>
      <c r="E275" s="66"/>
      <c r="G275" s="3"/>
      <c r="H275" s="68"/>
      <c r="I275" s="68"/>
      <c r="J275" s="68"/>
      <c r="K275" s="68"/>
    </row>
    <row r="276" spans="1:11">
      <c r="A276" s="3"/>
      <c r="B276" s="66"/>
      <c r="C276" s="66"/>
      <c r="D276" s="66"/>
      <c r="E276" s="66"/>
      <c r="G276" s="3"/>
      <c r="H276" s="68"/>
      <c r="I276" s="68"/>
      <c r="J276" s="68"/>
      <c r="K276" s="68"/>
    </row>
    <row r="277" spans="1:11">
      <c r="A277" s="3"/>
      <c r="B277" s="66"/>
      <c r="C277" s="66"/>
      <c r="D277" s="66"/>
      <c r="E277" s="66"/>
      <c r="G277" s="3"/>
      <c r="H277" s="68"/>
      <c r="I277" s="68"/>
      <c r="J277" s="68"/>
      <c r="K277" s="68"/>
    </row>
    <row r="278" spans="1:11">
      <c r="A278" s="3"/>
      <c r="B278" s="66"/>
      <c r="C278" s="66"/>
      <c r="D278" s="66"/>
      <c r="E278" s="66"/>
      <c r="G278" s="3"/>
      <c r="H278" s="68"/>
      <c r="I278" s="68"/>
      <c r="J278" s="68"/>
      <c r="K278" s="68"/>
    </row>
    <row r="279" spans="1:11">
      <c r="A279" s="3"/>
      <c r="B279" s="66"/>
      <c r="C279" s="66"/>
      <c r="D279" s="66"/>
      <c r="E279" s="66"/>
      <c r="G279" s="3"/>
      <c r="H279" s="68"/>
      <c r="I279" s="68"/>
      <c r="J279" s="68"/>
      <c r="K279" s="68"/>
    </row>
    <row r="280" spans="1:11">
      <c r="A280" s="3"/>
      <c r="B280" s="66"/>
      <c r="C280" s="66"/>
      <c r="D280" s="66"/>
      <c r="E280" s="66"/>
      <c r="G280" s="3"/>
      <c r="H280" s="68"/>
      <c r="I280" s="68"/>
      <c r="J280" s="68"/>
      <c r="K280" s="68"/>
    </row>
    <row r="281" spans="1:11">
      <c r="A281" s="3"/>
      <c r="B281" s="66"/>
      <c r="C281" s="66"/>
      <c r="D281" s="66"/>
      <c r="E281" s="66"/>
      <c r="G281" s="3"/>
      <c r="H281" s="68"/>
      <c r="I281" s="68"/>
      <c r="J281" s="68"/>
      <c r="K281" s="68"/>
    </row>
    <row r="282" spans="1:11">
      <c r="A282" s="3"/>
      <c r="B282" s="66"/>
      <c r="C282" s="66"/>
      <c r="D282" s="66"/>
      <c r="E282" s="66"/>
      <c r="G282" s="3"/>
      <c r="H282" s="68"/>
      <c r="I282" s="68"/>
      <c r="J282" s="68"/>
      <c r="K282" s="68"/>
    </row>
    <row r="283" spans="1:11">
      <c r="A283" s="3"/>
      <c r="B283" s="66"/>
      <c r="C283" s="66"/>
      <c r="D283" s="66"/>
      <c r="E283" s="66"/>
      <c r="G283" s="3"/>
      <c r="H283" s="68"/>
      <c r="I283" s="68"/>
      <c r="J283" s="68"/>
      <c r="K283" s="68"/>
    </row>
    <row r="284" spans="1:11">
      <c r="A284" s="3"/>
      <c r="B284" s="66"/>
      <c r="C284" s="66"/>
      <c r="D284" s="66"/>
      <c r="E284" s="66"/>
      <c r="G284" s="3"/>
      <c r="H284" s="68"/>
      <c r="I284" s="68"/>
      <c r="J284" s="68"/>
      <c r="K284" s="68"/>
    </row>
    <row r="285" spans="1:11">
      <c r="A285" s="3"/>
      <c r="B285" s="66"/>
      <c r="C285" s="66"/>
      <c r="D285" s="66"/>
      <c r="E285" s="66"/>
      <c r="G285" s="3"/>
      <c r="H285" s="68"/>
      <c r="I285" s="68"/>
      <c r="J285" s="68"/>
      <c r="K285" s="68"/>
    </row>
    <row r="286" spans="1:11">
      <c r="A286" s="3"/>
      <c r="B286" s="66"/>
      <c r="C286" s="66"/>
      <c r="D286" s="66"/>
      <c r="E286" s="66"/>
      <c r="G286" s="3"/>
      <c r="H286" s="68"/>
      <c r="I286" s="68"/>
      <c r="J286" s="68"/>
      <c r="K286" s="68"/>
    </row>
    <row r="287" spans="1:11">
      <c r="A287" s="3"/>
      <c r="B287" s="66"/>
      <c r="C287" s="66"/>
      <c r="D287" s="66"/>
      <c r="E287" s="66"/>
      <c r="G287" s="3"/>
      <c r="H287" s="68"/>
      <c r="I287" s="68"/>
      <c r="J287" s="68"/>
      <c r="K287" s="68"/>
    </row>
    <row r="288" spans="1:11">
      <c r="A288" s="3"/>
      <c r="B288" s="66"/>
      <c r="C288" s="66"/>
      <c r="D288" s="66"/>
      <c r="E288" s="66"/>
      <c r="G288" s="3"/>
      <c r="H288" s="68"/>
      <c r="I288" s="68"/>
      <c r="J288" s="68"/>
      <c r="K288" s="68"/>
    </row>
    <row r="289" spans="1:11">
      <c r="A289" s="3"/>
      <c r="B289" s="66"/>
      <c r="C289" s="66"/>
      <c r="D289" s="66"/>
      <c r="E289" s="66"/>
      <c r="G289" s="3"/>
      <c r="H289" s="68"/>
      <c r="I289" s="68"/>
      <c r="J289" s="68"/>
      <c r="K289" s="68"/>
    </row>
    <row r="290" spans="1:11">
      <c r="A290" s="3"/>
      <c r="B290" s="66"/>
      <c r="C290" s="66"/>
      <c r="D290" s="66"/>
      <c r="E290" s="66"/>
      <c r="G290" s="3"/>
      <c r="H290" s="68"/>
      <c r="I290" s="68"/>
      <c r="J290" s="68"/>
      <c r="K290" s="68"/>
    </row>
    <row r="291" spans="1:11">
      <c r="A291" s="3"/>
      <c r="B291" s="66"/>
      <c r="C291" s="66"/>
      <c r="D291" s="66"/>
      <c r="E291" s="66"/>
      <c r="G291" s="3"/>
      <c r="H291" s="68"/>
      <c r="I291" s="68"/>
      <c r="J291" s="68"/>
      <c r="K291" s="68"/>
    </row>
    <row r="292" spans="1:11">
      <c r="A292" s="3"/>
      <c r="B292" s="66"/>
      <c r="C292" s="66"/>
      <c r="D292" s="66"/>
      <c r="E292" s="66"/>
      <c r="G292" s="3"/>
      <c r="H292" s="68"/>
      <c r="I292" s="68"/>
      <c r="J292" s="68"/>
      <c r="K292" s="68"/>
    </row>
    <row r="293" spans="1:11">
      <c r="A293" s="3"/>
      <c r="B293" s="66"/>
      <c r="C293" s="66"/>
      <c r="D293" s="66"/>
      <c r="E293" s="66"/>
      <c r="G293" s="3"/>
      <c r="H293" s="68"/>
      <c r="I293" s="68"/>
      <c r="J293" s="68"/>
      <c r="K293" s="68"/>
    </row>
    <row r="294" spans="1:11">
      <c r="A294" s="3"/>
      <c r="B294" s="66"/>
      <c r="C294" s="66"/>
      <c r="D294" s="66"/>
      <c r="E294" s="66"/>
      <c r="G294" s="3"/>
      <c r="H294" s="68"/>
      <c r="I294" s="68"/>
      <c r="J294" s="68"/>
      <c r="K294" s="68"/>
    </row>
    <row r="295" spans="1:11">
      <c r="A295" s="3"/>
      <c r="B295" s="66"/>
      <c r="C295" s="66"/>
      <c r="D295" s="66"/>
      <c r="E295" s="66"/>
      <c r="G295" s="3"/>
      <c r="H295" s="68"/>
      <c r="I295" s="68"/>
      <c r="J295" s="68"/>
      <c r="K295" s="68"/>
    </row>
    <row r="296" spans="1:11">
      <c r="A296" s="3"/>
      <c r="B296" s="66"/>
      <c r="C296" s="66"/>
      <c r="D296" s="66"/>
      <c r="E296" s="66"/>
      <c r="G296" s="3"/>
      <c r="H296" s="68"/>
      <c r="I296" s="68"/>
      <c r="J296" s="68"/>
      <c r="K296" s="68"/>
    </row>
    <row r="297" spans="1:11">
      <c r="A297" s="3"/>
      <c r="B297" s="66"/>
      <c r="C297" s="66"/>
      <c r="D297" s="66"/>
      <c r="E297" s="66"/>
      <c r="G297" s="3"/>
      <c r="H297" s="68"/>
      <c r="I297" s="68"/>
      <c r="J297" s="68"/>
      <c r="K297" s="68"/>
    </row>
    <row r="298" spans="1:11">
      <c r="A298" s="3"/>
      <c r="B298" s="66"/>
      <c r="C298" s="66"/>
      <c r="D298" s="66"/>
      <c r="E298" s="66"/>
      <c r="G298" s="3"/>
      <c r="H298" s="68"/>
      <c r="I298" s="68"/>
      <c r="J298" s="68"/>
      <c r="K298" s="68"/>
    </row>
    <row r="299" spans="1:11">
      <c r="A299" s="3"/>
      <c r="B299" s="66"/>
      <c r="C299" s="66"/>
      <c r="D299" s="66"/>
      <c r="E299" s="66"/>
      <c r="G299" s="3"/>
      <c r="H299" s="68"/>
      <c r="I299" s="68"/>
      <c r="J299" s="68"/>
      <c r="K299" s="68"/>
    </row>
    <row r="300" spans="1:11">
      <c r="A300" s="3"/>
      <c r="B300" s="66"/>
      <c r="C300" s="66"/>
      <c r="D300" s="66"/>
      <c r="E300" s="66"/>
      <c r="G300" s="3"/>
      <c r="H300" s="68"/>
      <c r="I300" s="68"/>
      <c r="J300" s="68"/>
      <c r="K300" s="68"/>
    </row>
    <row r="301" spans="1:11">
      <c r="A301" s="3"/>
      <c r="B301" s="66"/>
      <c r="C301" s="66"/>
      <c r="D301" s="66"/>
      <c r="E301" s="66"/>
      <c r="G301" s="3"/>
      <c r="H301" s="68"/>
      <c r="I301" s="68"/>
      <c r="J301" s="68"/>
      <c r="K301" s="68"/>
    </row>
    <row r="302" spans="1:11">
      <c r="A302" s="3"/>
      <c r="B302" s="66"/>
      <c r="C302" s="66"/>
      <c r="D302" s="66"/>
      <c r="E302" s="66"/>
      <c r="G302" s="3"/>
      <c r="H302" s="68"/>
      <c r="I302" s="68"/>
      <c r="J302" s="68"/>
      <c r="K302" s="68"/>
    </row>
    <row r="303" spans="1:11">
      <c r="A303" s="3"/>
      <c r="B303" s="66"/>
      <c r="C303" s="66"/>
      <c r="D303" s="66"/>
      <c r="E303" s="66"/>
      <c r="G303" s="3"/>
      <c r="H303" s="68"/>
      <c r="I303" s="68"/>
      <c r="J303" s="68"/>
      <c r="K303" s="68"/>
    </row>
    <row r="304" spans="1:11">
      <c r="A304" s="3"/>
      <c r="B304" s="66"/>
      <c r="C304" s="66"/>
      <c r="D304" s="66"/>
      <c r="E304" s="66"/>
      <c r="G304" s="3"/>
      <c r="H304" s="68"/>
      <c r="I304" s="68"/>
      <c r="J304" s="68"/>
      <c r="K304" s="68"/>
    </row>
    <row r="305" spans="1:11">
      <c r="A305" s="3"/>
      <c r="B305" s="66"/>
      <c r="C305" s="66"/>
      <c r="D305" s="66"/>
      <c r="E305" s="66"/>
      <c r="G305" s="3"/>
      <c r="H305" s="68"/>
      <c r="I305" s="68"/>
      <c r="J305" s="68"/>
      <c r="K305" s="68"/>
    </row>
    <row r="306" spans="1:11">
      <c r="A306" s="3"/>
      <c r="B306" s="66"/>
      <c r="C306" s="66"/>
      <c r="D306" s="66"/>
      <c r="E306" s="66"/>
      <c r="G306" s="3"/>
      <c r="H306" s="68"/>
      <c r="I306" s="68"/>
      <c r="J306" s="68"/>
      <c r="K306" s="68"/>
    </row>
    <row r="307" spans="1:11">
      <c r="A307" s="3"/>
      <c r="B307" s="66"/>
      <c r="C307" s="66"/>
      <c r="D307" s="66"/>
      <c r="E307" s="66"/>
      <c r="G307" s="3"/>
      <c r="H307" s="68"/>
      <c r="I307" s="68"/>
      <c r="J307" s="68"/>
      <c r="K307" s="68"/>
    </row>
    <row r="308" spans="1:11">
      <c r="A308" s="3"/>
      <c r="B308" s="66"/>
      <c r="C308" s="66"/>
      <c r="D308" s="66"/>
      <c r="E308" s="66"/>
      <c r="G308" s="3"/>
      <c r="H308" s="68"/>
      <c r="I308" s="68"/>
      <c r="J308" s="68"/>
      <c r="K308" s="68"/>
    </row>
    <row r="309" spans="1:11">
      <c r="A309" s="3"/>
      <c r="B309" s="66"/>
      <c r="C309" s="66"/>
      <c r="D309" s="66"/>
      <c r="E309" s="66"/>
      <c r="G309" s="3"/>
      <c r="H309" s="68"/>
      <c r="I309" s="68"/>
      <c r="J309" s="68"/>
      <c r="K309" s="68"/>
    </row>
    <row r="310" spans="1:11">
      <c r="A310" s="3"/>
      <c r="B310" s="66"/>
      <c r="C310" s="66"/>
      <c r="D310" s="66"/>
      <c r="E310" s="66"/>
      <c r="G310" s="3"/>
      <c r="H310" s="68"/>
      <c r="I310" s="68"/>
      <c r="J310" s="68"/>
      <c r="K310" s="68"/>
    </row>
    <row r="311" spans="1:11">
      <c r="A311" s="3"/>
      <c r="B311" s="66"/>
      <c r="C311" s="66"/>
      <c r="D311" s="66"/>
      <c r="E311" s="66"/>
      <c r="G311" s="3"/>
      <c r="H311" s="68"/>
      <c r="I311" s="68"/>
      <c r="J311" s="68"/>
      <c r="K311" s="68"/>
    </row>
    <row r="312" spans="1:11">
      <c r="A312" s="3"/>
      <c r="B312" s="66"/>
      <c r="C312" s="66"/>
      <c r="D312" s="66"/>
      <c r="E312" s="66"/>
      <c r="G312" s="3"/>
      <c r="H312" s="68"/>
      <c r="I312" s="68"/>
      <c r="J312" s="68"/>
      <c r="K312" s="68"/>
    </row>
    <row r="313" spans="1:11">
      <c r="A313" s="3"/>
      <c r="B313" s="66"/>
      <c r="C313" s="66"/>
      <c r="D313" s="66"/>
      <c r="E313" s="66"/>
      <c r="G313" s="3"/>
      <c r="H313" s="68"/>
      <c r="I313" s="68"/>
      <c r="J313" s="68"/>
      <c r="K313" s="68"/>
    </row>
    <row r="314" spans="1:11">
      <c r="A314" s="3"/>
      <c r="B314" s="66"/>
      <c r="C314" s="66"/>
      <c r="D314" s="66"/>
      <c r="E314" s="66"/>
      <c r="G314" s="3"/>
      <c r="H314" s="68"/>
      <c r="I314" s="68"/>
      <c r="J314" s="68"/>
      <c r="K314" s="68"/>
    </row>
    <row r="315" spans="1:11">
      <c r="A315" s="3"/>
      <c r="B315" s="66"/>
      <c r="C315" s="66"/>
      <c r="D315" s="66"/>
      <c r="E315" s="66"/>
      <c r="G315" s="3"/>
      <c r="H315" s="68"/>
      <c r="I315" s="68"/>
      <c r="J315" s="68"/>
      <c r="K315" s="68"/>
    </row>
    <row r="316" spans="1:11">
      <c r="A316" s="3"/>
      <c r="B316" s="66"/>
      <c r="C316" s="66"/>
      <c r="D316" s="66"/>
      <c r="E316" s="66"/>
      <c r="G316" s="3"/>
      <c r="H316" s="68"/>
      <c r="I316" s="68"/>
      <c r="J316" s="68"/>
      <c r="K316" s="68"/>
    </row>
    <row r="317" spans="1:11">
      <c r="A317" s="3"/>
      <c r="B317" s="66"/>
      <c r="C317" s="66"/>
      <c r="D317" s="66"/>
      <c r="E317" s="66"/>
      <c r="G317" s="3"/>
      <c r="H317" s="68"/>
      <c r="I317" s="68"/>
      <c r="J317" s="68"/>
      <c r="K317" s="68"/>
    </row>
    <row r="318" spans="1:11">
      <c r="A318" s="3"/>
      <c r="B318" s="66"/>
      <c r="C318" s="66"/>
      <c r="D318" s="66"/>
      <c r="E318" s="66"/>
      <c r="G318" s="3"/>
      <c r="H318" s="68"/>
      <c r="I318" s="68"/>
      <c r="J318" s="68"/>
      <c r="K318" s="68"/>
    </row>
    <row r="319" spans="1:11">
      <c r="A319" s="3"/>
      <c r="B319" s="66"/>
      <c r="C319" s="66"/>
      <c r="D319" s="66"/>
      <c r="E319" s="66"/>
      <c r="G319" s="3"/>
      <c r="H319" s="68"/>
      <c r="I319" s="68"/>
      <c r="J319" s="68"/>
      <c r="K319" s="68"/>
    </row>
    <row r="320" spans="1:11">
      <c r="A320" s="3"/>
      <c r="B320" s="66"/>
      <c r="C320" s="66"/>
      <c r="D320" s="66"/>
      <c r="E320" s="66"/>
      <c r="G320" s="3"/>
      <c r="H320" s="68"/>
      <c r="I320" s="68"/>
      <c r="J320" s="68"/>
      <c r="K320" s="68"/>
    </row>
    <row r="321" spans="1:11">
      <c r="A321" s="3"/>
      <c r="B321" s="66"/>
      <c r="C321" s="66"/>
      <c r="D321" s="66"/>
      <c r="E321" s="66"/>
      <c r="G321" s="3"/>
      <c r="H321" s="68"/>
      <c r="I321" s="68"/>
      <c r="J321" s="68"/>
      <c r="K321" s="68"/>
    </row>
    <row r="322" spans="1:11">
      <c r="A322" s="3"/>
      <c r="B322" s="66"/>
      <c r="C322" s="66"/>
      <c r="D322" s="66"/>
      <c r="E322" s="66"/>
      <c r="G322" s="3"/>
      <c r="H322" s="68"/>
      <c r="I322" s="68"/>
      <c r="J322" s="68"/>
      <c r="K322" s="68"/>
    </row>
    <row r="323" spans="1:11">
      <c r="A323" s="3"/>
      <c r="B323" s="66"/>
      <c r="C323" s="66"/>
      <c r="D323" s="66"/>
      <c r="E323" s="66"/>
      <c r="G323" s="3"/>
      <c r="H323" s="68"/>
      <c r="I323" s="68"/>
      <c r="J323" s="68"/>
      <c r="K323" s="68"/>
    </row>
    <row r="324" spans="1:11">
      <c r="A324" s="3"/>
      <c r="B324" s="66"/>
      <c r="C324" s="66"/>
      <c r="D324" s="66"/>
      <c r="E324" s="66"/>
      <c r="G324" s="3"/>
      <c r="H324" s="68"/>
      <c r="I324" s="68"/>
      <c r="J324" s="68"/>
      <c r="K324" s="68"/>
    </row>
    <row r="325" spans="1:11">
      <c r="A325" s="3"/>
      <c r="B325" s="66"/>
      <c r="C325" s="66"/>
      <c r="D325" s="66"/>
      <c r="E325" s="66"/>
      <c r="G325" s="3"/>
      <c r="H325" s="68"/>
      <c r="I325" s="68"/>
      <c r="J325" s="68"/>
      <c r="K325" s="68"/>
    </row>
    <row r="326" spans="1:11">
      <c r="A326" s="3"/>
      <c r="B326" s="66"/>
      <c r="C326" s="66"/>
      <c r="D326" s="66"/>
      <c r="E326" s="66"/>
      <c r="G326" s="3"/>
      <c r="H326" s="68"/>
      <c r="I326" s="68"/>
      <c r="J326" s="68"/>
      <c r="K326" s="68"/>
    </row>
    <row r="327" spans="1:11">
      <c r="A327" s="3"/>
      <c r="B327" s="66"/>
      <c r="C327" s="66"/>
      <c r="D327" s="66"/>
      <c r="E327" s="66"/>
      <c r="G327" s="3"/>
      <c r="H327" s="68"/>
      <c r="I327" s="68"/>
      <c r="J327" s="68"/>
      <c r="K327" s="68"/>
    </row>
    <row r="328" spans="1:11">
      <c r="A328" s="3"/>
      <c r="B328" s="66"/>
      <c r="C328" s="66"/>
      <c r="D328" s="66"/>
      <c r="E328" s="66"/>
      <c r="G328" s="3"/>
      <c r="H328" s="68"/>
      <c r="I328" s="68"/>
      <c r="J328" s="68"/>
      <c r="K328" s="68"/>
    </row>
    <row r="329" spans="1:11">
      <c r="A329" s="3"/>
      <c r="B329" s="66"/>
      <c r="C329" s="66"/>
      <c r="D329" s="66"/>
      <c r="E329" s="66"/>
      <c r="G329" s="3"/>
      <c r="H329" s="68"/>
      <c r="I329" s="68"/>
      <c r="J329" s="68"/>
      <c r="K329" s="68"/>
    </row>
    <row r="330" spans="1:11">
      <c r="A330" s="3"/>
      <c r="B330" s="66"/>
      <c r="C330" s="66"/>
      <c r="D330" s="66"/>
      <c r="E330" s="66"/>
      <c r="G330" s="3"/>
      <c r="H330" s="68"/>
      <c r="I330" s="68"/>
      <c r="J330" s="68"/>
      <c r="K330" s="68"/>
    </row>
    <row r="331" spans="1:11">
      <c r="A331" s="3"/>
      <c r="B331" s="66"/>
      <c r="C331" s="66"/>
      <c r="D331" s="66"/>
      <c r="E331" s="66"/>
      <c r="G331" s="3"/>
      <c r="H331" s="68"/>
      <c r="I331" s="68"/>
      <c r="J331" s="68"/>
      <c r="K331" s="68"/>
    </row>
    <row r="332" spans="1:11">
      <c r="A332" s="3"/>
      <c r="B332" s="66"/>
      <c r="C332" s="66"/>
      <c r="D332" s="66"/>
      <c r="E332" s="66"/>
      <c r="G332" s="3"/>
      <c r="H332" s="68"/>
      <c r="I332" s="68"/>
      <c r="J332" s="68"/>
      <c r="K332" s="68"/>
    </row>
    <row r="333" spans="1:11">
      <c r="A333" s="3"/>
      <c r="B333" s="66"/>
      <c r="C333" s="66"/>
      <c r="D333" s="66"/>
      <c r="E333" s="66"/>
      <c r="G333" s="3"/>
      <c r="H333" s="68"/>
      <c r="I333" s="68"/>
      <c r="J333" s="68"/>
      <c r="K333" s="68"/>
    </row>
    <row r="334" spans="1:11">
      <c r="A334" s="3"/>
      <c r="B334" s="66"/>
      <c r="C334" s="66"/>
      <c r="D334" s="66"/>
      <c r="E334" s="66"/>
      <c r="G334" s="3"/>
      <c r="H334" s="68"/>
      <c r="I334" s="68"/>
      <c r="J334" s="68"/>
      <c r="K334" s="68"/>
    </row>
    <row r="335" spans="1:11">
      <c r="A335" s="3"/>
      <c r="B335" s="66"/>
      <c r="C335" s="66"/>
      <c r="D335" s="66"/>
      <c r="E335" s="66"/>
      <c r="G335" s="3"/>
      <c r="H335" s="68"/>
      <c r="I335" s="68"/>
      <c r="J335" s="68"/>
      <c r="K335" s="68"/>
    </row>
    <row r="336" spans="1:11">
      <c r="A336" s="3"/>
      <c r="B336" s="66"/>
      <c r="C336" s="66"/>
      <c r="D336" s="66"/>
      <c r="E336" s="66"/>
      <c r="G336" s="3"/>
      <c r="H336" s="68"/>
      <c r="I336" s="68"/>
      <c r="J336" s="68"/>
      <c r="K336" s="68"/>
    </row>
    <row r="337" spans="1:11">
      <c r="A337" s="3"/>
      <c r="B337" s="66"/>
      <c r="C337" s="66"/>
      <c r="D337" s="66"/>
      <c r="E337" s="66"/>
      <c r="G337" s="3"/>
      <c r="H337" s="68"/>
      <c r="I337" s="68"/>
      <c r="J337" s="68"/>
      <c r="K337" s="68"/>
    </row>
    <row r="338" spans="1:11">
      <c r="A338" s="3"/>
      <c r="B338" s="66"/>
      <c r="C338" s="66"/>
      <c r="D338" s="66"/>
      <c r="E338" s="66"/>
      <c r="G338" s="3"/>
      <c r="H338" s="68"/>
      <c r="I338" s="68"/>
      <c r="J338" s="68"/>
      <c r="K338" s="68"/>
    </row>
    <row r="339" spans="1:11">
      <c r="A339" s="3"/>
      <c r="B339" s="66"/>
      <c r="C339" s="66"/>
      <c r="D339" s="66"/>
      <c r="E339" s="66"/>
      <c r="G339" s="3"/>
      <c r="H339" s="68"/>
      <c r="I339" s="68"/>
      <c r="J339" s="68"/>
      <c r="K339" s="68"/>
    </row>
    <row r="340" spans="1:11">
      <c r="A340" s="3"/>
      <c r="B340" s="66"/>
      <c r="C340" s="66"/>
      <c r="D340" s="66"/>
      <c r="E340" s="66"/>
      <c r="G340" s="3"/>
      <c r="H340" s="68"/>
      <c r="I340" s="68"/>
      <c r="J340" s="68"/>
      <c r="K340" s="68"/>
    </row>
    <row r="341" spans="1:11">
      <c r="A341" s="3"/>
      <c r="B341" s="66"/>
      <c r="C341" s="66"/>
      <c r="D341" s="66"/>
      <c r="E341" s="66"/>
      <c r="G341" s="3"/>
      <c r="H341" s="68"/>
      <c r="I341" s="68"/>
      <c r="J341" s="68"/>
      <c r="K341" s="68"/>
    </row>
    <row r="342" spans="1:11">
      <c r="A342" s="3"/>
      <c r="B342" s="66"/>
      <c r="C342" s="66"/>
      <c r="D342" s="66"/>
      <c r="E342" s="66"/>
      <c r="G342" s="3"/>
      <c r="H342" s="68"/>
      <c r="I342" s="68"/>
      <c r="J342" s="68"/>
      <c r="K342" s="68"/>
    </row>
    <row r="343" spans="1:11">
      <c r="A343" s="3"/>
      <c r="B343" s="66"/>
      <c r="C343" s="66"/>
      <c r="D343" s="66"/>
      <c r="E343" s="66"/>
      <c r="G343" s="3"/>
      <c r="H343" s="68"/>
      <c r="I343" s="68"/>
      <c r="J343" s="68"/>
      <c r="K343" s="68"/>
    </row>
    <row r="344" spans="1:11">
      <c r="A344" s="3"/>
      <c r="B344" s="66"/>
      <c r="C344" s="66"/>
      <c r="D344" s="66"/>
      <c r="E344" s="66"/>
      <c r="G344" s="3"/>
      <c r="H344" s="68"/>
      <c r="I344" s="68"/>
      <c r="J344" s="68"/>
      <c r="K344" s="68"/>
    </row>
    <row r="345" spans="1:11">
      <c r="A345" s="3"/>
      <c r="B345" s="66"/>
      <c r="C345" s="66"/>
      <c r="D345" s="66"/>
      <c r="E345" s="66"/>
      <c r="G345" s="3"/>
      <c r="H345" s="68"/>
      <c r="I345" s="68"/>
      <c r="J345" s="68"/>
      <c r="K345" s="68"/>
    </row>
    <row r="346" spans="1:11">
      <c r="A346" s="3"/>
      <c r="B346" s="66"/>
      <c r="C346" s="66"/>
      <c r="D346" s="66"/>
      <c r="E346" s="66"/>
      <c r="G346" s="3"/>
      <c r="H346" s="68"/>
      <c r="I346" s="68"/>
      <c r="J346" s="68"/>
      <c r="K346" s="68"/>
    </row>
    <row r="347" spans="1:11">
      <c r="A347" s="3"/>
      <c r="B347" s="66"/>
      <c r="C347" s="66"/>
      <c r="D347" s="66"/>
      <c r="E347" s="66"/>
      <c r="G347" s="3"/>
      <c r="H347" s="68"/>
      <c r="I347" s="68"/>
      <c r="J347" s="68"/>
      <c r="K347" s="68"/>
    </row>
    <row r="348" spans="1:11">
      <c r="A348" s="3"/>
      <c r="B348" s="66"/>
      <c r="C348" s="66"/>
      <c r="D348" s="66"/>
      <c r="E348" s="66"/>
      <c r="G348" s="3"/>
      <c r="H348" s="68"/>
      <c r="I348" s="68"/>
      <c r="J348" s="68"/>
      <c r="K348" s="68"/>
    </row>
    <row r="349" spans="1:11">
      <c r="A349" s="3"/>
      <c r="B349" s="66"/>
      <c r="C349" s="66"/>
      <c r="D349" s="66"/>
      <c r="E349" s="66"/>
      <c r="G349" s="3"/>
      <c r="H349" s="68"/>
      <c r="I349" s="68"/>
      <c r="J349" s="68"/>
      <c r="K349" s="68"/>
    </row>
    <row r="350" spans="1:11">
      <c r="A350" s="3"/>
      <c r="B350" s="66"/>
      <c r="C350" s="66"/>
      <c r="D350" s="66"/>
      <c r="E350" s="66"/>
      <c r="G350" s="3"/>
      <c r="H350" s="68"/>
      <c r="I350" s="68"/>
      <c r="J350" s="68"/>
      <c r="K350" s="68"/>
    </row>
    <row r="351" spans="1:11">
      <c r="A351" s="3"/>
      <c r="B351" s="66"/>
      <c r="C351" s="66"/>
      <c r="D351" s="66"/>
      <c r="E351" s="66"/>
      <c r="G351" s="3"/>
      <c r="H351" s="68"/>
      <c r="I351" s="68"/>
      <c r="J351" s="68"/>
      <c r="K351" s="68"/>
    </row>
    <row r="352" spans="1:11">
      <c r="A352" s="3"/>
      <c r="B352" s="66"/>
      <c r="C352" s="66"/>
      <c r="D352" s="66"/>
      <c r="E352" s="66"/>
      <c r="G352" s="3"/>
      <c r="H352" s="68"/>
      <c r="I352" s="68"/>
      <c r="J352" s="68"/>
      <c r="K352" s="68"/>
    </row>
    <row r="353" spans="1:11">
      <c r="A353" s="3"/>
      <c r="B353" s="66"/>
      <c r="C353" s="66"/>
      <c r="D353" s="66"/>
      <c r="E353" s="66"/>
      <c r="G353" s="3"/>
      <c r="H353" s="68"/>
      <c r="I353" s="68"/>
      <c r="J353" s="68"/>
      <c r="K353" s="68"/>
    </row>
    <row r="354" spans="1:11">
      <c r="A354" s="3"/>
      <c r="B354" s="66"/>
      <c r="C354" s="66"/>
      <c r="D354" s="66"/>
      <c r="E354" s="66"/>
      <c r="G354" s="3"/>
      <c r="H354" s="68"/>
      <c r="I354" s="68"/>
      <c r="J354" s="68"/>
      <c r="K354" s="68"/>
    </row>
    <row r="355" spans="1:11">
      <c r="A355" s="3"/>
      <c r="B355" s="66"/>
      <c r="C355" s="66"/>
      <c r="D355" s="66"/>
      <c r="E355" s="66"/>
      <c r="G355" s="3"/>
      <c r="H355" s="68"/>
      <c r="I355" s="68"/>
      <c r="J355" s="68"/>
      <c r="K355" s="68"/>
    </row>
    <row r="356" spans="1:11">
      <c r="A356" s="3"/>
      <c r="B356" s="66"/>
      <c r="C356" s="66"/>
      <c r="D356" s="66"/>
      <c r="E356" s="66"/>
      <c r="G356" s="3"/>
      <c r="H356" s="68"/>
      <c r="I356" s="68"/>
      <c r="J356" s="68"/>
      <c r="K356" s="68"/>
    </row>
    <row r="357" spans="1:11">
      <c r="A357" s="3"/>
      <c r="B357" s="66"/>
      <c r="C357" s="66"/>
      <c r="D357" s="66"/>
      <c r="E357" s="66"/>
      <c r="G357" s="3"/>
      <c r="H357" s="68"/>
      <c r="I357" s="68"/>
      <c r="J357" s="68"/>
      <c r="K357" s="68"/>
    </row>
    <row r="358" spans="1:11">
      <c r="A358" s="3"/>
      <c r="B358" s="66"/>
      <c r="C358" s="66"/>
      <c r="D358" s="66"/>
      <c r="E358" s="66"/>
      <c r="G358" s="3"/>
      <c r="H358" s="68"/>
      <c r="I358" s="68"/>
      <c r="J358" s="68"/>
      <c r="K358" s="68"/>
    </row>
    <row r="359" spans="1:11">
      <c r="A359" s="3"/>
      <c r="B359" s="66"/>
      <c r="C359" s="66"/>
      <c r="D359" s="66"/>
      <c r="E359" s="66"/>
      <c r="G359" s="3"/>
      <c r="H359" s="68"/>
      <c r="I359" s="68"/>
      <c r="J359" s="68"/>
      <c r="K359" s="68"/>
    </row>
    <row r="360" spans="1:11">
      <c r="A360" s="3"/>
      <c r="B360" s="66"/>
      <c r="C360" s="66"/>
      <c r="D360" s="66"/>
      <c r="E360" s="66"/>
      <c r="G360" s="3"/>
      <c r="H360" s="68"/>
      <c r="I360" s="68"/>
      <c r="J360" s="68"/>
      <c r="K360" s="68"/>
    </row>
    <row r="361" spans="1:11">
      <c r="A361" s="3"/>
      <c r="B361" s="66"/>
      <c r="C361" s="66"/>
      <c r="D361" s="66"/>
      <c r="E361" s="66"/>
      <c r="G361" s="3"/>
      <c r="H361" s="68"/>
      <c r="I361" s="68"/>
      <c r="J361" s="68"/>
      <c r="K361" s="68"/>
    </row>
    <row r="362" spans="1:11">
      <c r="A362" s="3"/>
      <c r="B362" s="66"/>
      <c r="C362" s="66"/>
      <c r="D362" s="66"/>
      <c r="E362" s="66"/>
      <c r="G362" s="3"/>
      <c r="H362" s="68"/>
      <c r="I362" s="68"/>
      <c r="J362" s="68"/>
      <c r="K362" s="68"/>
    </row>
    <row r="363" spans="1:11">
      <c r="A363" s="3"/>
      <c r="B363" s="66"/>
      <c r="C363" s="66"/>
      <c r="D363" s="66"/>
      <c r="E363" s="66"/>
      <c r="G363" s="3"/>
      <c r="H363" s="68"/>
      <c r="I363" s="68"/>
      <c r="J363" s="68"/>
      <c r="K363" s="68"/>
    </row>
    <row r="364" spans="1:11">
      <c r="A364" s="3"/>
      <c r="B364" s="66"/>
      <c r="C364" s="66"/>
      <c r="D364" s="66"/>
      <c r="E364" s="66"/>
      <c r="G364" s="3"/>
      <c r="H364" s="68"/>
      <c r="I364" s="68"/>
      <c r="J364" s="68"/>
      <c r="K364" s="68"/>
    </row>
    <row r="365" spans="1:11">
      <c r="A365" s="3"/>
      <c r="B365" s="66"/>
      <c r="C365" s="66"/>
      <c r="D365" s="66"/>
      <c r="E365" s="66"/>
      <c r="G365" s="3"/>
      <c r="H365" s="68"/>
      <c r="I365" s="68"/>
      <c r="J365" s="68"/>
      <c r="K365" s="68"/>
    </row>
    <row r="366" spans="1:11">
      <c r="A366" s="3"/>
      <c r="B366" s="66"/>
      <c r="C366" s="66"/>
      <c r="D366" s="66"/>
      <c r="E366" s="66"/>
      <c r="G366" s="3"/>
      <c r="H366" s="68"/>
      <c r="I366" s="68"/>
      <c r="J366" s="68"/>
      <c r="K366" s="68"/>
    </row>
    <row r="367" spans="1:11">
      <c r="A367" s="3"/>
      <c r="B367" s="66"/>
      <c r="C367" s="66"/>
      <c r="D367" s="66"/>
      <c r="E367" s="66"/>
      <c r="G367" s="3"/>
      <c r="H367" s="68"/>
      <c r="I367" s="68"/>
      <c r="J367" s="68"/>
      <c r="K367" s="68"/>
    </row>
    <row r="368" spans="1:11">
      <c r="A368" s="3"/>
      <c r="B368" s="66"/>
      <c r="C368" s="66"/>
      <c r="D368" s="66"/>
      <c r="E368" s="66"/>
      <c r="G368" s="3"/>
      <c r="H368" s="68"/>
      <c r="I368" s="68"/>
      <c r="J368" s="68"/>
      <c r="K368" s="68"/>
    </row>
    <row r="369" spans="1:11">
      <c r="A369" s="3"/>
      <c r="B369" s="66"/>
      <c r="C369" s="66"/>
      <c r="D369" s="66"/>
      <c r="E369" s="66"/>
      <c r="G369" s="3"/>
      <c r="H369" s="68"/>
      <c r="I369" s="68"/>
      <c r="J369" s="68"/>
      <c r="K369" s="68"/>
    </row>
    <row r="370" spans="1:11">
      <c r="A370" s="3"/>
      <c r="B370" s="66"/>
      <c r="C370" s="66"/>
      <c r="D370" s="66"/>
      <c r="E370" s="66"/>
      <c r="G370" s="3"/>
      <c r="H370" s="68"/>
      <c r="I370" s="68"/>
      <c r="J370" s="68"/>
      <c r="K370" s="68"/>
    </row>
    <row r="371" spans="1:11">
      <c r="A371" s="3"/>
      <c r="B371" s="66"/>
      <c r="C371" s="66"/>
      <c r="D371" s="66"/>
      <c r="E371" s="66"/>
      <c r="G371" s="3"/>
      <c r="H371" s="68"/>
      <c r="I371" s="68"/>
      <c r="J371" s="68"/>
      <c r="K371" s="68"/>
    </row>
    <row r="372" spans="1:11">
      <c r="A372" s="3"/>
      <c r="B372" s="66"/>
      <c r="C372" s="66"/>
      <c r="D372" s="66"/>
      <c r="E372" s="66"/>
      <c r="G372" s="3"/>
      <c r="H372" s="68"/>
      <c r="I372" s="68"/>
      <c r="J372" s="68"/>
      <c r="K372" s="68"/>
    </row>
    <row r="373" spans="1:11">
      <c r="A373" s="3"/>
      <c r="B373" s="66"/>
      <c r="C373" s="66"/>
      <c r="D373" s="66"/>
      <c r="E373" s="66"/>
      <c r="G373" s="3"/>
      <c r="H373" s="68"/>
      <c r="I373" s="68"/>
      <c r="J373" s="68"/>
      <c r="K373" s="68"/>
    </row>
    <row r="374" spans="1:11">
      <c r="A374" s="3"/>
      <c r="B374" s="66"/>
      <c r="C374" s="66"/>
      <c r="D374" s="66"/>
      <c r="E374" s="66"/>
      <c r="G374" s="3"/>
      <c r="H374" s="68"/>
      <c r="I374" s="68"/>
      <c r="J374" s="68"/>
      <c r="K374" s="68"/>
    </row>
    <row r="375" spans="1:11">
      <c r="A375" s="3"/>
      <c r="B375" s="66"/>
      <c r="C375" s="66"/>
      <c r="D375" s="66"/>
      <c r="E375" s="66"/>
      <c r="G375" s="3"/>
      <c r="H375" s="68"/>
      <c r="I375" s="68"/>
      <c r="J375" s="68"/>
      <c r="K375" s="68"/>
    </row>
    <row r="376" spans="1:11">
      <c r="A376" s="3"/>
      <c r="B376" s="66"/>
      <c r="C376" s="66"/>
      <c r="D376" s="66"/>
      <c r="E376" s="66"/>
      <c r="G376" s="3"/>
      <c r="H376" s="68"/>
      <c r="I376" s="68"/>
      <c r="J376" s="68"/>
      <c r="K376" s="68"/>
    </row>
    <row r="377" spans="1:11">
      <c r="A377" s="3"/>
      <c r="B377" s="66"/>
      <c r="C377" s="66"/>
      <c r="D377" s="66"/>
      <c r="E377" s="66"/>
      <c r="G377" s="3"/>
      <c r="H377" s="68"/>
      <c r="I377" s="68"/>
      <c r="J377" s="68"/>
      <c r="K377" s="68"/>
    </row>
    <row r="378" spans="1:11">
      <c r="A378" s="3"/>
      <c r="B378" s="66"/>
      <c r="C378" s="66"/>
      <c r="D378" s="66"/>
      <c r="E378" s="66"/>
      <c r="G378" s="3"/>
      <c r="H378" s="68"/>
      <c r="I378" s="68"/>
      <c r="J378" s="68"/>
      <c r="K378" s="68"/>
    </row>
    <row r="379" spans="1:11">
      <c r="A379" s="3"/>
      <c r="B379" s="66"/>
      <c r="C379" s="66"/>
      <c r="D379" s="66"/>
      <c r="E379" s="66"/>
      <c r="G379" s="3"/>
      <c r="H379" s="68"/>
      <c r="I379" s="68"/>
      <c r="J379" s="68"/>
      <c r="K379" s="68"/>
    </row>
    <row r="380" spans="1:11">
      <c r="A380" s="3"/>
      <c r="B380" s="66"/>
      <c r="C380" s="66"/>
      <c r="D380" s="66"/>
      <c r="E380" s="66"/>
      <c r="G380" s="3"/>
      <c r="H380" s="68"/>
      <c r="I380" s="68"/>
      <c r="J380" s="68"/>
      <c r="K380" s="68"/>
    </row>
    <row r="381" spans="1:11">
      <c r="A381" s="3"/>
      <c r="B381" s="66"/>
      <c r="C381" s="66"/>
      <c r="D381" s="66"/>
      <c r="E381" s="66"/>
      <c r="G381" s="3"/>
      <c r="H381" s="68"/>
      <c r="I381" s="68"/>
      <c r="J381" s="68"/>
      <c r="K381" s="68"/>
    </row>
    <row r="382" spans="1:11">
      <c r="A382" s="3"/>
      <c r="B382" s="66"/>
      <c r="C382" s="66"/>
      <c r="D382" s="66"/>
      <c r="E382" s="66"/>
      <c r="G382" s="3"/>
      <c r="H382" s="68"/>
      <c r="I382" s="68"/>
      <c r="J382" s="68"/>
      <c r="K382" s="68"/>
    </row>
    <row r="383" spans="1:11">
      <c r="A383" s="3"/>
      <c r="B383" s="66"/>
      <c r="C383" s="66"/>
      <c r="D383" s="66"/>
      <c r="E383" s="66"/>
      <c r="G383" s="3"/>
      <c r="H383" s="68"/>
      <c r="I383" s="68"/>
      <c r="J383" s="68"/>
      <c r="K383" s="68"/>
    </row>
    <row r="384" spans="1:11">
      <c r="A384" s="3"/>
      <c r="B384" s="66"/>
      <c r="C384" s="66"/>
      <c r="D384" s="66"/>
      <c r="E384" s="66"/>
      <c r="G384" s="3"/>
      <c r="H384" s="68"/>
      <c r="I384" s="68"/>
      <c r="J384" s="68"/>
      <c r="K384" s="68"/>
    </row>
    <row r="385" spans="1:11">
      <c r="A385" s="3"/>
      <c r="B385" s="66"/>
      <c r="C385" s="66"/>
      <c r="D385" s="66"/>
      <c r="E385" s="66"/>
      <c r="G385" s="3"/>
      <c r="H385" s="68"/>
      <c r="I385" s="68"/>
      <c r="J385" s="68"/>
      <c r="K385" s="68"/>
    </row>
    <row r="386" spans="1:11">
      <c r="A386" s="3"/>
      <c r="B386" s="66"/>
      <c r="C386" s="66"/>
      <c r="D386" s="66"/>
      <c r="E386" s="66"/>
      <c r="G386" s="3"/>
      <c r="H386" s="68"/>
      <c r="I386" s="68"/>
      <c r="J386" s="68"/>
      <c r="K386" s="68"/>
    </row>
    <row r="387" spans="1:11">
      <c r="A387" s="3"/>
      <c r="B387" s="66"/>
      <c r="C387" s="66"/>
      <c r="D387" s="66"/>
      <c r="E387" s="66"/>
      <c r="G387" s="3"/>
      <c r="H387" s="68"/>
      <c r="I387" s="68"/>
      <c r="J387" s="68"/>
      <c r="K387" s="68"/>
    </row>
    <row r="388" spans="1:11">
      <c r="A388" s="3"/>
      <c r="B388" s="66"/>
      <c r="C388" s="66"/>
      <c r="D388" s="66"/>
      <c r="E388" s="66"/>
      <c r="G388" s="3"/>
      <c r="H388" s="68"/>
      <c r="I388" s="68"/>
      <c r="J388" s="68"/>
      <c r="K388" s="68"/>
    </row>
    <row r="389" spans="1:11">
      <c r="A389" s="3"/>
      <c r="B389" s="66"/>
      <c r="C389" s="66"/>
      <c r="D389" s="66"/>
      <c r="E389" s="66"/>
      <c r="G389" s="3"/>
      <c r="H389" s="68"/>
      <c r="I389" s="68"/>
      <c r="J389" s="68"/>
      <c r="K389" s="68"/>
    </row>
    <row r="390" spans="1:11">
      <c r="A390" s="3"/>
      <c r="B390" s="66"/>
      <c r="C390" s="66"/>
      <c r="D390" s="66"/>
      <c r="E390" s="66"/>
      <c r="G390" s="3"/>
      <c r="H390" s="68"/>
      <c r="I390" s="68"/>
      <c r="J390" s="68"/>
      <c r="K390" s="68"/>
    </row>
    <row r="391" spans="1:11">
      <c r="A391" s="3"/>
      <c r="B391" s="66"/>
      <c r="C391" s="66"/>
      <c r="D391" s="66"/>
      <c r="E391" s="66"/>
      <c r="G391" s="3"/>
      <c r="H391" s="68"/>
      <c r="I391" s="68"/>
      <c r="J391" s="68"/>
      <c r="K391" s="68"/>
    </row>
    <row r="392" spans="1:11">
      <c r="A392" s="3"/>
      <c r="B392" s="66"/>
      <c r="C392" s="66"/>
      <c r="D392" s="66"/>
      <c r="E392" s="66"/>
      <c r="G392" s="3"/>
      <c r="H392" s="68"/>
      <c r="I392" s="68"/>
      <c r="J392" s="68"/>
      <c r="K392" s="68"/>
    </row>
    <row r="393" spans="1:11">
      <c r="A393" s="3"/>
      <c r="B393" s="66"/>
      <c r="C393" s="66"/>
      <c r="D393" s="66"/>
      <c r="E393" s="66"/>
      <c r="G393" s="3"/>
      <c r="H393" s="68"/>
      <c r="I393" s="68"/>
      <c r="J393" s="68"/>
      <c r="K393" s="68"/>
    </row>
    <row r="394" spans="1:11">
      <c r="A394" s="3"/>
      <c r="B394" s="66"/>
      <c r="C394" s="66"/>
      <c r="D394" s="66"/>
      <c r="E394" s="66"/>
      <c r="G394" s="3"/>
      <c r="H394" s="68"/>
      <c r="I394" s="68"/>
      <c r="J394" s="68"/>
      <c r="K394" s="68"/>
    </row>
    <row r="395" spans="1:11">
      <c r="A395" s="3"/>
      <c r="B395" s="66"/>
      <c r="C395" s="66"/>
      <c r="D395" s="66"/>
      <c r="E395" s="66"/>
      <c r="G395" s="3"/>
      <c r="H395" s="68"/>
      <c r="I395" s="68"/>
      <c r="J395" s="68"/>
      <c r="K395" s="68"/>
    </row>
    <row r="396" spans="1:11">
      <c r="A396" s="3"/>
      <c r="B396" s="66"/>
      <c r="C396" s="66"/>
      <c r="D396" s="66"/>
      <c r="E396" s="66"/>
      <c r="G396" s="3"/>
      <c r="H396" s="68"/>
      <c r="I396" s="68"/>
      <c r="J396" s="68"/>
      <c r="K396" s="68"/>
    </row>
    <row r="397" spans="1:11">
      <c r="A397" s="3"/>
      <c r="B397" s="66"/>
      <c r="C397" s="66"/>
      <c r="D397" s="66"/>
      <c r="E397" s="66"/>
      <c r="G397" s="3"/>
      <c r="H397" s="68"/>
      <c r="I397" s="68"/>
      <c r="J397" s="68"/>
      <c r="K397" s="68"/>
    </row>
    <row r="398" spans="1:11">
      <c r="A398" s="3"/>
      <c r="B398" s="66"/>
      <c r="C398" s="66"/>
      <c r="D398" s="66"/>
      <c r="E398" s="66"/>
      <c r="G398" s="3"/>
      <c r="H398" s="68"/>
      <c r="I398" s="68"/>
      <c r="J398" s="68"/>
      <c r="K398" s="68"/>
    </row>
    <row r="399" spans="1:11">
      <c r="A399" s="3"/>
      <c r="B399" s="66"/>
      <c r="C399" s="66"/>
      <c r="D399" s="66"/>
      <c r="E399" s="66"/>
      <c r="G399" s="3"/>
      <c r="H399" s="68"/>
      <c r="I399" s="68"/>
      <c r="J399" s="68"/>
      <c r="K399" s="68"/>
    </row>
    <row r="400" spans="1:11">
      <c r="A400" s="3"/>
      <c r="B400" s="66"/>
      <c r="C400" s="66"/>
      <c r="D400" s="66"/>
      <c r="E400" s="66"/>
      <c r="G400" s="3"/>
      <c r="H400" s="68"/>
      <c r="I400" s="68"/>
      <c r="J400" s="68"/>
      <c r="K400" s="68"/>
    </row>
    <row r="401" spans="1:11">
      <c r="A401" s="3"/>
      <c r="B401" s="66"/>
      <c r="C401" s="66"/>
      <c r="D401" s="66"/>
      <c r="E401" s="66"/>
      <c r="G401" s="3"/>
      <c r="H401" s="68"/>
      <c r="I401" s="68"/>
      <c r="J401" s="68"/>
      <c r="K401" s="68"/>
    </row>
    <row r="402" spans="1:11">
      <c r="A402" s="3"/>
      <c r="B402" s="66"/>
      <c r="C402" s="66"/>
      <c r="D402" s="66"/>
      <c r="E402" s="66"/>
      <c r="G402" s="3"/>
      <c r="H402" s="68"/>
      <c r="I402" s="68"/>
      <c r="J402" s="68"/>
      <c r="K402" s="68"/>
    </row>
    <row r="403" spans="1:11">
      <c r="A403" s="3"/>
      <c r="B403" s="66"/>
      <c r="C403" s="66"/>
      <c r="D403" s="66"/>
      <c r="E403" s="66"/>
      <c r="G403" s="3"/>
      <c r="H403" s="68"/>
      <c r="I403" s="68"/>
      <c r="J403" s="68"/>
      <c r="K403" s="68"/>
    </row>
    <row r="404" spans="1:11">
      <c r="A404" s="3"/>
      <c r="B404" s="66"/>
      <c r="C404" s="66"/>
      <c r="D404" s="66"/>
      <c r="E404" s="66"/>
      <c r="G404" s="3"/>
      <c r="H404" s="68"/>
      <c r="I404" s="68"/>
      <c r="J404" s="68"/>
      <c r="K404" s="68"/>
    </row>
    <row r="405" spans="1:11">
      <c r="A405" s="3"/>
      <c r="B405" s="66"/>
      <c r="C405" s="66"/>
      <c r="D405" s="66"/>
      <c r="E405" s="66"/>
      <c r="G405" s="3"/>
      <c r="H405" s="68"/>
      <c r="I405" s="68"/>
      <c r="J405" s="68"/>
      <c r="K405" s="68"/>
    </row>
    <row r="406" spans="1:11">
      <c r="A406" s="3"/>
      <c r="B406" s="66"/>
      <c r="C406" s="66"/>
      <c r="D406" s="66"/>
      <c r="E406" s="66"/>
      <c r="G406" s="3"/>
      <c r="H406" s="68"/>
      <c r="I406" s="68"/>
      <c r="J406" s="68"/>
      <c r="K406" s="68"/>
    </row>
    <row r="407" spans="1:11">
      <c r="A407" s="3"/>
      <c r="B407" s="66"/>
      <c r="C407" s="66"/>
      <c r="D407" s="66"/>
      <c r="E407" s="66"/>
      <c r="G407" s="3"/>
      <c r="H407" s="68"/>
      <c r="I407" s="68"/>
      <c r="J407" s="68"/>
      <c r="K407" s="68"/>
    </row>
    <row r="408" spans="1:11">
      <c r="A408" s="3"/>
      <c r="B408" s="66"/>
      <c r="C408" s="66"/>
      <c r="D408" s="66"/>
      <c r="E408" s="66"/>
      <c r="G408" s="3"/>
      <c r="H408" s="68"/>
      <c r="I408" s="68"/>
      <c r="J408" s="68"/>
      <c r="K408" s="68"/>
    </row>
    <row r="409" spans="1:11">
      <c r="A409" s="3"/>
      <c r="B409" s="66"/>
      <c r="C409" s="66"/>
      <c r="D409" s="66"/>
      <c r="E409" s="66"/>
      <c r="G409" s="3"/>
      <c r="H409" s="68"/>
      <c r="I409" s="68"/>
      <c r="J409" s="68"/>
      <c r="K409" s="68"/>
    </row>
    <row r="410" spans="1:11">
      <c r="A410" s="3"/>
      <c r="B410" s="66"/>
      <c r="C410" s="66"/>
      <c r="D410" s="66"/>
      <c r="E410" s="66"/>
      <c r="G410" s="3"/>
      <c r="H410" s="68"/>
      <c r="I410" s="68"/>
      <c r="J410" s="68"/>
      <c r="K410" s="68"/>
    </row>
    <row r="411" spans="1:11">
      <c r="A411" s="3"/>
      <c r="B411" s="66"/>
      <c r="C411" s="66"/>
      <c r="D411" s="66"/>
      <c r="E411" s="66"/>
      <c r="G411" s="3"/>
      <c r="H411" s="68"/>
      <c r="I411" s="68"/>
      <c r="J411" s="68"/>
      <c r="K411" s="68"/>
    </row>
    <row r="412" spans="1:11">
      <c r="A412" s="3"/>
      <c r="B412" s="66"/>
      <c r="C412" s="66"/>
      <c r="D412" s="66"/>
      <c r="E412" s="66"/>
      <c r="G412" s="3"/>
      <c r="H412" s="68"/>
      <c r="I412" s="68"/>
      <c r="J412" s="68"/>
      <c r="K412" s="68"/>
    </row>
    <row r="413" spans="1:11">
      <c r="A413" s="3"/>
      <c r="B413" s="66"/>
      <c r="C413" s="66"/>
      <c r="D413" s="66"/>
      <c r="E413" s="66"/>
      <c r="G413" s="3"/>
      <c r="H413" s="68"/>
      <c r="I413" s="68"/>
      <c r="J413" s="68"/>
      <c r="K413" s="68"/>
    </row>
    <row r="414" spans="1:11">
      <c r="A414" s="3"/>
      <c r="B414" s="66"/>
      <c r="C414" s="66"/>
      <c r="D414" s="66"/>
      <c r="E414" s="66"/>
      <c r="G414" s="3"/>
      <c r="H414" s="68"/>
      <c r="I414" s="68"/>
      <c r="J414" s="68"/>
      <c r="K414" s="68"/>
    </row>
    <row r="415" spans="1:11">
      <c r="A415" s="3"/>
      <c r="B415" s="66"/>
      <c r="C415" s="66"/>
      <c r="D415" s="66"/>
      <c r="E415" s="66"/>
      <c r="G415" s="3"/>
      <c r="H415" s="68"/>
      <c r="I415" s="68"/>
      <c r="J415" s="68"/>
      <c r="K415" s="68"/>
    </row>
    <row r="416" spans="1:11">
      <c r="A416" s="3"/>
      <c r="B416" s="66"/>
      <c r="C416" s="66"/>
      <c r="D416" s="66"/>
      <c r="E416" s="66"/>
      <c r="G416" s="3"/>
      <c r="H416" s="68"/>
      <c r="I416" s="68"/>
      <c r="J416" s="68"/>
      <c r="K416" s="68"/>
    </row>
    <row r="417" spans="1:11">
      <c r="A417" s="3"/>
      <c r="B417" s="66"/>
      <c r="C417" s="66"/>
      <c r="D417" s="66"/>
      <c r="E417" s="66"/>
      <c r="G417" s="3"/>
      <c r="H417" s="68"/>
      <c r="I417" s="68"/>
      <c r="J417" s="68"/>
      <c r="K417" s="68"/>
    </row>
    <row r="418" spans="1:11">
      <c r="A418" s="3"/>
      <c r="B418" s="66"/>
      <c r="C418" s="66"/>
      <c r="D418" s="66"/>
      <c r="E418" s="66"/>
      <c r="G418" s="3"/>
      <c r="H418" s="68"/>
      <c r="I418" s="68"/>
      <c r="J418" s="68"/>
      <c r="K418" s="68"/>
    </row>
    <row r="419" spans="1:11">
      <c r="A419" s="3"/>
      <c r="B419" s="66"/>
      <c r="C419" s="66"/>
      <c r="D419" s="66"/>
      <c r="E419" s="66"/>
      <c r="G419" s="3"/>
      <c r="H419" s="68"/>
      <c r="I419" s="68"/>
      <c r="J419" s="68"/>
      <c r="K419" s="68"/>
    </row>
    <row r="420" spans="1:11">
      <c r="A420" s="3"/>
      <c r="B420" s="66"/>
      <c r="C420" s="66"/>
      <c r="D420" s="66"/>
      <c r="E420" s="66"/>
      <c r="G420" s="3"/>
      <c r="H420" s="68"/>
      <c r="I420" s="68"/>
      <c r="J420" s="68"/>
      <c r="K420" s="68"/>
    </row>
    <row r="421" spans="1:11">
      <c r="A421" s="3"/>
      <c r="B421" s="66"/>
      <c r="C421" s="66"/>
      <c r="D421" s="66"/>
      <c r="E421" s="66"/>
      <c r="G421" s="3"/>
      <c r="H421" s="68"/>
      <c r="I421" s="68"/>
      <c r="J421" s="68"/>
      <c r="K421" s="68"/>
    </row>
    <row r="422" spans="1:11">
      <c r="A422" s="3"/>
      <c r="B422" s="66"/>
      <c r="C422" s="66"/>
      <c r="D422" s="66"/>
      <c r="E422" s="66"/>
      <c r="G422" s="3"/>
      <c r="H422" s="68"/>
      <c r="I422" s="68"/>
      <c r="J422" s="68"/>
      <c r="K422" s="68"/>
    </row>
    <row r="423" spans="1:11">
      <c r="A423" s="3"/>
      <c r="B423" s="66"/>
      <c r="C423" s="66"/>
      <c r="D423" s="66"/>
      <c r="E423" s="66"/>
      <c r="G423" s="3"/>
      <c r="H423" s="68"/>
      <c r="I423" s="68"/>
      <c r="J423" s="68"/>
      <c r="K423" s="68"/>
    </row>
    <row r="424" spans="1:11">
      <c r="A424" s="3"/>
      <c r="B424" s="66"/>
      <c r="C424" s="66"/>
      <c r="D424" s="66"/>
      <c r="E424" s="66"/>
      <c r="G424" s="3"/>
      <c r="H424" s="68"/>
      <c r="I424" s="68"/>
      <c r="J424" s="68"/>
      <c r="K424" s="68"/>
    </row>
    <row r="425" spans="1:11">
      <c r="A425" s="3"/>
      <c r="B425" s="66"/>
      <c r="C425" s="66"/>
      <c r="D425" s="66"/>
      <c r="E425" s="66"/>
      <c r="G425" s="3"/>
      <c r="H425" s="68"/>
      <c r="I425" s="68"/>
      <c r="J425" s="68"/>
      <c r="K425" s="68"/>
    </row>
    <row r="426" spans="1:11">
      <c r="A426" s="3"/>
      <c r="B426" s="66"/>
      <c r="C426" s="66"/>
      <c r="D426" s="66"/>
      <c r="E426" s="66"/>
      <c r="G426" s="3"/>
      <c r="H426" s="68"/>
      <c r="I426" s="68"/>
      <c r="J426" s="68"/>
      <c r="K426" s="68"/>
    </row>
    <row r="427" spans="1:11">
      <c r="A427" s="3"/>
      <c r="B427" s="66"/>
      <c r="C427" s="66"/>
      <c r="D427" s="66"/>
      <c r="E427" s="66"/>
      <c r="G427" s="3"/>
      <c r="H427" s="68"/>
      <c r="I427" s="68"/>
      <c r="J427" s="68"/>
      <c r="K427" s="68"/>
    </row>
    <row r="428" spans="1:11">
      <c r="A428" s="3"/>
      <c r="B428" s="66"/>
      <c r="C428" s="66"/>
      <c r="D428" s="66"/>
      <c r="E428" s="66"/>
      <c r="G428" s="3"/>
      <c r="H428" s="68"/>
      <c r="I428" s="68"/>
      <c r="J428" s="68"/>
      <c r="K428" s="68"/>
    </row>
    <row r="429" spans="1:11">
      <c r="A429" s="3"/>
      <c r="B429" s="66"/>
      <c r="C429" s="66"/>
      <c r="D429" s="66"/>
      <c r="E429" s="66"/>
      <c r="G429" s="3"/>
      <c r="H429" s="68"/>
      <c r="I429" s="68"/>
      <c r="J429" s="68"/>
      <c r="K429" s="68"/>
    </row>
    <row r="430" spans="1:11">
      <c r="A430" s="3"/>
      <c r="B430" s="66"/>
      <c r="C430" s="66"/>
      <c r="D430" s="66"/>
      <c r="E430" s="66"/>
      <c r="G430" s="3"/>
      <c r="H430" s="68"/>
      <c r="I430" s="68"/>
      <c r="J430" s="68"/>
      <c r="K430" s="68"/>
    </row>
    <row r="431" spans="1:11">
      <c r="A431" s="3"/>
      <c r="B431" s="66"/>
      <c r="C431" s="66"/>
      <c r="D431" s="66"/>
      <c r="E431" s="66"/>
      <c r="G431" s="3"/>
      <c r="H431" s="68"/>
      <c r="I431" s="68"/>
      <c r="J431" s="68"/>
      <c r="K431" s="68"/>
    </row>
    <row r="432" spans="1:11">
      <c r="A432" s="3"/>
      <c r="B432" s="66"/>
      <c r="C432" s="66"/>
      <c r="D432" s="66"/>
      <c r="E432" s="66"/>
      <c r="G432" s="3"/>
      <c r="H432" s="68"/>
      <c r="I432" s="68"/>
      <c r="J432" s="68"/>
      <c r="K432" s="68"/>
    </row>
    <row r="433" spans="1:11">
      <c r="A433" s="3"/>
      <c r="B433" s="66"/>
      <c r="C433" s="66"/>
      <c r="D433" s="66"/>
      <c r="E433" s="66"/>
      <c r="G433" s="3"/>
      <c r="H433" s="68"/>
      <c r="I433" s="68"/>
      <c r="J433" s="68"/>
      <c r="K433" s="68"/>
    </row>
    <row r="434" spans="1:11">
      <c r="A434" s="3"/>
      <c r="B434" s="66"/>
      <c r="C434" s="66"/>
      <c r="D434" s="66"/>
      <c r="E434" s="66"/>
      <c r="G434" s="3"/>
      <c r="H434" s="68"/>
      <c r="I434" s="68"/>
      <c r="J434" s="68"/>
      <c r="K434" s="68"/>
    </row>
    <row r="435" spans="1:11">
      <c r="A435" s="3"/>
      <c r="B435" s="66"/>
      <c r="C435" s="66"/>
      <c r="D435" s="66"/>
      <c r="E435" s="66"/>
      <c r="G435" s="3"/>
      <c r="H435" s="68"/>
      <c r="I435" s="68"/>
      <c r="J435" s="68"/>
      <c r="K435" s="68"/>
    </row>
    <row r="436" spans="1:11">
      <c r="A436" s="3"/>
      <c r="B436" s="66"/>
      <c r="C436" s="66"/>
      <c r="D436" s="66"/>
      <c r="E436" s="66"/>
      <c r="G436" s="3"/>
      <c r="H436" s="68"/>
      <c r="I436" s="68"/>
      <c r="J436" s="68"/>
      <c r="K436" s="68"/>
    </row>
    <row r="437" spans="1:11">
      <c r="A437" s="3"/>
      <c r="B437" s="66"/>
      <c r="C437" s="66"/>
      <c r="D437" s="66"/>
      <c r="E437" s="66"/>
      <c r="G437" s="3"/>
      <c r="H437" s="68"/>
      <c r="I437" s="68"/>
      <c r="J437" s="68"/>
      <c r="K437" s="68"/>
    </row>
    <row r="438" spans="1:11">
      <c r="A438" s="3"/>
      <c r="B438" s="66"/>
      <c r="C438" s="66"/>
      <c r="D438" s="66"/>
      <c r="E438" s="66"/>
      <c r="G438" s="3"/>
      <c r="H438" s="68"/>
      <c r="I438" s="68"/>
      <c r="J438" s="68"/>
      <c r="K438" s="68"/>
    </row>
    <row r="439" spans="1:11">
      <c r="A439" s="3"/>
      <c r="B439" s="66"/>
      <c r="C439" s="66"/>
      <c r="D439" s="66"/>
      <c r="E439" s="66"/>
      <c r="G439" s="3"/>
      <c r="H439" s="68"/>
      <c r="I439" s="68"/>
      <c r="J439" s="68"/>
      <c r="K439" s="68"/>
    </row>
    <row r="440" spans="1:11">
      <c r="A440" s="3"/>
      <c r="B440" s="66"/>
      <c r="C440" s="66"/>
      <c r="D440" s="66"/>
      <c r="E440" s="66"/>
      <c r="G440" s="3"/>
      <c r="H440" s="68"/>
      <c r="I440" s="68"/>
      <c r="J440" s="68"/>
      <c r="K440" s="68"/>
    </row>
    <row r="441" spans="1:11">
      <c r="A441" s="3"/>
      <c r="B441" s="66"/>
      <c r="C441" s="66"/>
      <c r="D441" s="66"/>
      <c r="E441" s="66"/>
      <c r="G441" s="3"/>
      <c r="H441" s="68"/>
      <c r="I441" s="68"/>
      <c r="J441" s="68"/>
      <c r="K441" s="68"/>
    </row>
    <row r="442" spans="1:11">
      <c r="A442" s="3"/>
      <c r="B442" s="66"/>
      <c r="C442" s="66"/>
      <c r="D442" s="66"/>
      <c r="E442" s="66"/>
      <c r="G442" s="3"/>
      <c r="H442" s="68"/>
      <c r="I442" s="68"/>
      <c r="J442" s="68"/>
      <c r="K442" s="68"/>
    </row>
    <row r="443" spans="1:11">
      <c r="A443" s="3"/>
      <c r="B443" s="66"/>
      <c r="C443" s="66"/>
      <c r="D443" s="66"/>
      <c r="E443" s="66"/>
      <c r="G443" s="3"/>
      <c r="H443" s="68"/>
      <c r="I443" s="68"/>
      <c r="J443" s="68"/>
      <c r="K443" s="68"/>
    </row>
    <row r="444" spans="1:11">
      <c r="A444" s="3"/>
      <c r="B444" s="66"/>
      <c r="C444" s="66"/>
      <c r="D444" s="66"/>
      <c r="E444" s="66"/>
      <c r="G444" s="3"/>
      <c r="H444" s="68"/>
      <c r="I444" s="68"/>
      <c r="J444" s="68"/>
      <c r="K444" s="68"/>
    </row>
    <row r="445" spans="1:11">
      <c r="A445" s="3"/>
      <c r="B445" s="66"/>
      <c r="C445" s="66"/>
      <c r="D445" s="66"/>
      <c r="E445" s="66"/>
      <c r="G445" s="3"/>
      <c r="H445" s="68"/>
      <c r="I445" s="68"/>
      <c r="J445" s="68"/>
      <c r="K445" s="68"/>
    </row>
    <row r="446" spans="1:11">
      <c r="A446" s="3"/>
      <c r="B446" s="66"/>
      <c r="C446" s="66"/>
      <c r="D446" s="66"/>
      <c r="E446" s="66"/>
      <c r="G446" s="3"/>
      <c r="H446" s="68"/>
      <c r="I446" s="68"/>
      <c r="J446" s="68"/>
      <c r="K446" s="68"/>
    </row>
    <row r="447" spans="1:11">
      <c r="A447" s="3"/>
      <c r="B447" s="66"/>
      <c r="C447" s="66"/>
      <c r="D447" s="66"/>
      <c r="E447" s="66"/>
      <c r="G447" s="3"/>
      <c r="H447" s="68"/>
      <c r="I447" s="68"/>
      <c r="J447" s="68"/>
      <c r="K447" s="68"/>
    </row>
    <row r="448" spans="1:11">
      <c r="A448" s="3"/>
      <c r="B448" s="66"/>
      <c r="C448" s="66"/>
      <c r="D448" s="66"/>
      <c r="E448" s="66"/>
      <c r="G448" s="3"/>
      <c r="H448" s="68"/>
      <c r="I448" s="68"/>
      <c r="J448" s="68"/>
      <c r="K448" s="68"/>
    </row>
    <row r="449" spans="1:11">
      <c r="A449" s="3"/>
      <c r="B449" s="66"/>
      <c r="C449" s="66"/>
      <c r="D449" s="66"/>
      <c r="E449" s="66"/>
      <c r="G449" s="3"/>
      <c r="H449" s="68"/>
      <c r="I449" s="68"/>
      <c r="J449" s="68"/>
      <c r="K449" s="68"/>
    </row>
    <row r="450" spans="1:11">
      <c r="A450" s="3"/>
      <c r="B450" s="66"/>
      <c r="C450" s="66"/>
      <c r="D450" s="66"/>
      <c r="E450" s="66"/>
      <c r="G450" s="3"/>
      <c r="H450" s="68"/>
      <c r="I450" s="68"/>
      <c r="J450" s="68"/>
      <c r="K450" s="68"/>
    </row>
    <row r="451" spans="1:11">
      <c r="A451" s="3"/>
      <c r="B451" s="66"/>
      <c r="C451" s="66"/>
      <c r="D451" s="66"/>
      <c r="E451" s="66"/>
      <c r="G451" s="3"/>
      <c r="H451" s="68"/>
      <c r="I451" s="68"/>
      <c r="J451" s="68"/>
      <c r="K451" s="68"/>
    </row>
    <row r="452" spans="1:11">
      <c r="A452" s="3"/>
      <c r="B452" s="66"/>
      <c r="C452" s="66"/>
      <c r="D452" s="66"/>
      <c r="E452" s="66"/>
      <c r="G452" s="3"/>
      <c r="H452" s="68"/>
      <c r="I452" s="68"/>
      <c r="J452" s="68"/>
      <c r="K452" s="68"/>
    </row>
    <row r="453" spans="1:11">
      <c r="A453" s="3"/>
      <c r="B453" s="66"/>
      <c r="C453" s="66"/>
      <c r="D453" s="66"/>
      <c r="E453" s="66"/>
      <c r="G453" s="3"/>
      <c r="H453" s="68"/>
      <c r="I453" s="68"/>
      <c r="J453" s="68"/>
      <c r="K453" s="68"/>
    </row>
    <row r="454" spans="1:11">
      <c r="A454" s="3"/>
      <c r="B454" s="66"/>
      <c r="C454" s="66"/>
      <c r="D454" s="66"/>
      <c r="E454" s="66"/>
      <c r="G454" s="3"/>
      <c r="H454" s="68"/>
      <c r="I454" s="68"/>
      <c r="J454" s="68"/>
      <c r="K454" s="68"/>
    </row>
    <row r="455" spans="1:11">
      <c r="A455" s="3"/>
      <c r="B455" s="66"/>
      <c r="C455" s="66"/>
      <c r="D455" s="66"/>
      <c r="E455" s="66"/>
      <c r="G455" s="3"/>
      <c r="H455" s="68"/>
      <c r="I455" s="68"/>
      <c r="J455" s="68"/>
      <c r="K455" s="68"/>
    </row>
    <row r="456" spans="1:11">
      <c r="A456" s="3"/>
      <c r="B456" s="66"/>
      <c r="C456" s="66"/>
      <c r="D456" s="66"/>
      <c r="E456" s="66"/>
      <c r="G456" s="3"/>
      <c r="H456" s="68"/>
      <c r="I456" s="68"/>
      <c r="J456" s="68"/>
      <c r="K456" s="68"/>
    </row>
    <row r="457" spans="1:11">
      <c r="A457" s="3"/>
      <c r="B457" s="66"/>
      <c r="C457" s="66"/>
      <c r="D457" s="66"/>
      <c r="E457" s="66"/>
      <c r="G457" s="3"/>
      <c r="H457" s="68"/>
      <c r="I457" s="68"/>
      <c r="J457" s="68"/>
      <c r="K457" s="68"/>
    </row>
    <row r="458" spans="1:11">
      <c r="A458" s="3"/>
      <c r="B458" s="66"/>
      <c r="C458" s="66"/>
      <c r="D458" s="66"/>
      <c r="E458" s="66"/>
      <c r="G458" s="3"/>
      <c r="H458" s="68"/>
      <c r="I458" s="68"/>
      <c r="J458" s="68"/>
      <c r="K458" s="68"/>
    </row>
    <row r="459" spans="1:11">
      <c r="A459" s="3"/>
      <c r="B459" s="66"/>
      <c r="C459" s="66"/>
      <c r="D459" s="66"/>
      <c r="E459" s="66"/>
      <c r="G459" s="3"/>
      <c r="H459" s="68"/>
      <c r="I459" s="68"/>
      <c r="J459" s="68"/>
      <c r="K459" s="68"/>
    </row>
    <row r="460" spans="1:11">
      <c r="A460" s="3"/>
      <c r="B460" s="66"/>
      <c r="C460" s="66"/>
      <c r="D460" s="66"/>
      <c r="E460" s="66"/>
      <c r="G460" s="3"/>
      <c r="H460" s="68"/>
      <c r="I460" s="68"/>
      <c r="J460" s="68"/>
      <c r="K460" s="68"/>
    </row>
    <row r="461" spans="1:11">
      <c r="A461" s="3"/>
      <c r="B461" s="66"/>
      <c r="C461" s="66"/>
      <c r="D461" s="66"/>
      <c r="E461" s="66"/>
      <c r="G461" s="3"/>
      <c r="H461" s="68"/>
      <c r="I461" s="68"/>
      <c r="J461" s="68"/>
      <c r="K461" s="68"/>
    </row>
    <row r="462" spans="1:11">
      <c r="A462" s="3"/>
      <c r="B462" s="66"/>
      <c r="C462" s="66"/>
      <c r="D462" s="66"/>
      <c r="E462" s="66"/>
      <c r="G462" s="3"/>
      <c r="H462" s="68"/>
      <c r="I462" s="68"/>
      <c r="J462" s="68"/>
      <c r="K462" s="68"/>
    </row>
    <row r="463" spans="1:11">
      <c r="A463" s="3"/>
      <c r="B463" s="66"/>
      <c r="C463" s="66"/>
      <c r="D463" s="66"/>
      <c r="E463" s="66"/>
      <c r="G463" s="3"/>
      <c r="H463" s="68"/>
      <c r="I463" s="68"/>
      <c r="J463" s="68"/>
      <c r="K463" s="68"/>
    </row>
    <row r="464" spans="1:11">
      <c r="A464" s="3"/>
      <c r="B464" s="66"/>
      <c r="C464" s="66"/>
      <c r="D464" s="66"/>
      <c r="E464" s="66"/>
      <c r="G464" s="3"/>
      <c r="H464" s="68"/>
      <c r="I464" s="68"/>
      <c r="J464" s="68"/>
      <c r="K464" s="68"/>
    </row>
    <row r="465" spans="1:11">
      <c r="A465" s="3"/>
      <c r="B465" s="66"/>
      <c r="C465" s="66"/>
      <c r="D465" s="66"/>
      <c r="E465" s="66"/>
      <c r="G465" s="3"/>
      <c r="H465" s="68"/>
      <c r="I465" s="68"/>
      <c r="J465" s="68"/>
      <c r="K465" s="68"/>
    </row>
    <row r="466" spans="1:11">
      <c r="A466" s="3"/>
      <c r="B466" s="66"/>
      <c r="C466" s="66"/>
      <c r="D466" s="66"/>
      <c r="E466" s="66"/>
      <c r="G466" s="3"/>
      <c r="H466" s="68"/>
      <c r="I466" s="68"/>
      <c r="J466" s="68"/>
      <c r="K466" s="68"/>
    </row>
    <row r="467" spans="1:11">
      <c r="A467" s="3"/>
      <c r="B467" s="66"/>
      <c r="C467" s="66"/>
      <c r="D467" s="66"/>
      <c r="E467" s="66"/>
      <c r="G467" s="3"/>
      <c r="H467" s="68"/>
      <c r="I467" s="68"/>
      <c r="J467" s="68"/>
      <c r="K467" s="68"/>
    </row>
    <row r="468" spans="1:11">
      <c r="A468" s="3"/>
      <c r="B468" s="66"/>
      <c r="C468" s="66"/>
      <c r="D468" s="66"/>
      <c r="E468" s="66"/>
      <c r="G468" s="3"/>
      <c r="H468" s="68"/>
      <c r="I468" s="68"/>
      <c r="J468" s="68"/>
      <c r="K468" s="68"/>
    </row>
    <row r="469" spans="1:11">
      <c r="A469" s="3"/>
      <c r="B469" s="66"/>
      <c r="C469" s="66"/>
      <c r="D469" s="66"/>
      <c r="E469" s="66"/>
      <c r="G469" s="3"/>
      <c r="H469" s="68"/>
      <c r="I469" s="68"/>
      <c r="J469" s="68"/>
      <c r="K469" s="68"/>
    </row>
    <row r="470" spans="1:11">
      <c r="A470" s="3"/>
      <c r="B470" s="66"/>
      <c r="C470" s="66"/>
      <c r="D470" s="66"/>
      <c r="E470" s="66"/>
      <c r="G470" s="3"/>
      <c r="H470" s="68"/>
      <c r="I470" s="68"/>
      <c r="J470" s="68"/>
      <c r="K470" s="68"/>
    </row>
    <row r="471" spans="1:11">
      <c r="A471" s="3"/>
      <c r="B471" s="66"/>
      <c r="C471" s="66"/>
      <c r="D471" s="66"/>
      <c r="E471" s="66"/>
      <c r="G471" s="3"/>
      <c r="H471" s="68"/>
      <c r="I471" s="68"/>
      <c r="J471" s="68"/>
      <c r="K471" s="68"/>
    </row>
    <row r="472" spans="1:11">
      <c r="A472" s="3"/>
      <c r="B472" s="66"/>
      <c r="C472" s="66"/>
      <c r="D472" s="66"/>
      <c r="E472" s="66"/>
      <c r="G472" s="3"/>
      <c r="H472" s="68"/>
      <c r="I472" s="68"/>
      <c r="J472" s="68"/>
      <c r="K472" s="68"/>
    </row>
    <row r="473" spans="1:11">
      <c r="A473" s="3"/>
      <c r="B473" s="66"/>
      <c r="C473" s="66"/>
      <c r="D473" s="66"/>
      <c r="E473" s="66"/>
      <c r="G473" s="3"/>
      <c r="H473" s="68"/>
      <c r="I473" s="68"/>
      <c r="J473" s="68"/>
      <c r="K473" s="68"/>
    </row>
    <row r="474" spans="1:11">
      <c r="A474" s="3"/>
      <c r="B474" s="66"/>
      <c r="C474" s="66"/>
      <c r="D474" s="66"/>
      <c r="E474" s="66"/>
      <c r="G474" s="3"/>
      <c r="H474" s="68"/>
      <c r="I474" s="68"/>
      <c r="J474" s="68"/>
      <c r="K474" s="68"/>
    </row>
    <row r="475" spans="1:11">
      <c r="A475" s="3"/>
      <c r="B475" s="66"/>
      <c r="C475" s="66"/>
      <c r="D475" s="66"/>
      <c r="E475" s="66"/>
      <c r="G475" s="3"/>
      <c r="H475" s="68"/>
      <c r="I475" s="68"/>
      <c r="J475" s="68"/>
      <c r="K475" s="68"/>
    </row>
    <row r="476" spans="1:11">
      <c r="A476" s="3"/>
      <c r="B476" s="66"/>
      <c r="C476" s="66"/>
      <c r="D476" s="66"/>
      <c r="E476" s="66"/>
      <c r="G476" s="3"/>
      <c r="H476" s="68"/>
      <c r="I476" s="68"/>
      <c r="J476" s="68"/>
      <c r="K476" s="68"/>
    </row>
    <row r="477" spans="1:11">
      <c r="A477" s="3"/>
      <c r="B477" s="66"/>
      <c r="C477" s="66"/>
      <c r="D477" s="66"/>
      <c r="E477" s="66"/>
      <c r="G477" s="3"/>
      <c r="H477" s="68"/>
      <c r="I477" s="68"/>
      <c r="J477" s="68"/>
      <c r="K477" s="68"/>
    </row>
    <row r="478" spans="1:11">
      <c r="A478" s="3"/>
      <c r="B478" s="66"/>
      <c r="C478" s="66"/>
      <c r="D478" s="66"/>
      <c r="E478" s="66"/>
      <c r="G478" s="3"/>
      <c r="H478" s="68"/>
      <c r="I478" s="68"/>
      <c r="J478" s="68"/>
      <c r="K478" s="68"/>
    </row>
    <row r="479" spans="1:11">
      <c r="A479" s="3"/>
      <c r="B479" s="66"/>
      <c r="C479" s="66"/>
      <c r="D479" s="66"/>
      <c r="E479" s="66"/>
      <c r="G479" s="3"/>
      <c r="H479" s="68"/>
      <c r="I479" s="68"/>
      <c r="J479" s="68"/>
      <c r="K479" s="68"/>
    </row>
    <row r="480" spans="1:11">
      <c r="A480" s="3"/>
      <c r="B480" s="66"/>
      <c r="C480" s="66"/>
      <c r="D480" s="66"/>
      <c r="E480" s="66"/>
      <c r="G480" s="3"/>
      <c r="H480" s="68"/>
      <c r="I480" s="68"/>
      <c r="J480" s="68"/>
      <c r="K480" s="68"/>
    </row>
    <row r="481" spans="1:11">
      <c r="A481" s="3"/>
      <c r="B481" s="66"/>
      <c r="C481" s="66"/>
      <c r="D481" s="66"/>
      <c r="E481" s="66"/>
      <c r="G481" s="3"/>
      <c r="H481" s="68"/>
      <c r="I481" s="68"/>
      <c r="J481" s="68"/>
      <c r="K481" s="68"/>
    </row>
    <row r="482" spans="1:11">
      <c r="A482" s="3"/>
      <c r="B482" s="66"/>
      <c r="C482" s="66"/>
      <c r="D482" s="66"/>
      <c r="E482" s="66"/>
      <c r="G482" s="3"/>
      <c r="H482" s="68"/>
      <c r="I482" s="68"/>
      <c r="J482" s="68"/>
      <c r="K482" s="68"/>
    </row>
    <row r="483" spans="1:11">
      <c r="A483" s="3"/>
      <c r="B483" s="66"/>
      <c r="C483" s="66"/>
      <c r="D483" s="66"/>
      <c r="E483" s="66"/>
      <c r="G483" s="3"/>
      <c r="H483" s="68"/>
      <c r="I483" s="68"/>
      <c r="J483" s="68"/>
      <c r="K483" s="68"/>
    </row>
    <row r="484" spans="1:11">
      <c r="A484" s="3"/>
      <c r="B484" s="66"/>
      <c r="C484" s="66"/>
      <c r="D484" s="66"/>
      <c r="E484" s="66"/>
      <c r="G484" s="3"/>
      <c r="H484" s="68"/>
      <c r="I484" s="68"/>
      <c r="J484" s="68"/>
      <c r="K484" s="68"/>
    </row>
    <row r="485" spans="1:11">
      <c r="A485" s="3"/>
      <c r="B485" s="66"/>
      <c r="C485" s="66"/>
      <c r="D485" s="66"/>
      <c r="E485" s="66"/>
      <c r="G485" s="3"/>
      <c r="H485" s="68"/>
      <c r="I485" s="68"/>
      <c r="J485" s="68"/>
      <c r="K485" s="68"/>
    </row>
    <row r="486" spans="1:11">
      <c r="A486" s="3"/>
      <c r="B486" s="66"/>
      <c r="C486" s="66"/>
      <c r="D486" s="66"/>
      <c r="E486" s="66"/>
      <c r="G486" s="3"/>
      <c r="H486" s="68"/>
      <c r="I486" s="68"/>
      <c r="J486" s="68"/>
      <c r="K486" s="68"/>
    </row>
    <row r="487" spans="1:11">
      <c r="A487" s="3"/>
      <c r="B487" s="66"/>
      <c r="C487" s="66"/>
      <c r="D487" s="66"/>
      <c r="E487" s="66"/>
      <c r="G487" s="3"/>
      <c r="H487" s="68"/>
      <c r="I487" s="68"/>
      <c r="J487" s="68"/>
      <c r="K487" s="68"/>
    </row>
    <row r="488" spans="1:11">
      <c r="A488" s="3"/>
      <c r="B488" s="66"/>
      <c r="C488" s="66"/>
      <c r="D488" s="66"/>
      <c r="E488" s="66"/>
      <c r="G488" s="3"/>
      <c r="H488" s="68"/>
      <c r="I488" s="68"/>
      <c r="J488" s="68"/>
      <c r="K488" s="68"/>
    </row>
    <row r="489" spans="1:11">
      <c r="A489" s="3"/>
      <c r="B489" s="66"/>
      <c r="C489" s="66"/>
      <c r="D489" s="66"/>
      <c r="E489" s="66"/>
      <c r="G489" s="3"/>
      <c r="H489" s="68"/>
      <c r="I489" s="68"/>
      <c r="J489" s="68"/>
      <c r="K489" s="68"/>
    </row>
    <row r="490" spans="1:11">
      <c r="A490" s="3"/>
      <c r="B490" s="66"/>
      <c r="C490" s="66"/>
      <c r="D490" s="66"/>
      <c r="E490" s="66"/>
      <c r="G490" s="3"/>
      <c r="H490" s="68"/>
      <c r="I490" s="68"/>
      <c r="J490" s="68"/>
      <c r="K490" s="68"/>
    </row>
    <row r="491" spans="1:11">
      <c r="A491" s="3"/>
      <c r="B491" s="66"/>
      <c r="C491" s="66"/>
      <c r="D491" s="66"/>
      <c r="E491" s="66"/>
      <c r="G491" s="3"/>
      <c r="H491" s="68"/>
      <c r="I491" s="68"/>
      <c r="J491" s="68"/>
      <c r="K491" s="68"/>
    </row>
    <row r="492" spans="1:11">
      <c r="A492" s="3"/>
      <c r="B492" s="66"/>
      <c r="C492" s="66"/>
      <c r="D492" s="66"/>
      <c r="E492" s="66"/>
      <c r="G492" s="3"/>
      <c r="H492" s="68"/>
      <c r="I492" s="68"/>
      <c r="J492" s="68"/>
      <c r="K492" s="68"/>
    </row>
    <row r="493" spans="1:11">
      <c r="A493" s="3"/>
      <c r="B493" s="66"/>
      <c r="C493" s="66"/>
      <c r="D493" s="66"/>
      <c r="E493" s="66"/>
      <c r="G493" s="3"/>
      <c r="H493" s="68"/>
      <c r="I493" s="68"/>
      <c r="J493" s="68"/>
      <c r="K493" s="68"/>
    </row>
    <row r="494" spans="1:11">
      <c r="A494" s="3"/>
      <c r="B494" s="66"/>
      <c r="C494" s="66"/>
      <c r="D494" s="66"/>
      <c r="E494" s="66"/>
      <c r="G494" s="3"/>
      <c r="H494" s="68"/>
      <c r="I494" s="68"/>
      <c r="J494" s="68"/>
      <c r="K494" s="68"/>
    </row>
    <row r="495" spans="1:11">
      <c r="A495" s="3"/>
      <c r="B495" s="66"/>
      <c r="C495" s="66"/>
      <c r="D495" s="66"/>
      <c r="E495" s="66"/>
      <c r="G495" s="3"/>
      <c r="H495" s="68"/>
      <c r="I495" s="68"/>
      <c r="J495" s="68"/>
      <c r="K495" s="68"/>
    </row>
    <row r="496" spans="1:11">
      <c r="A496" s="3"/>
      <c r="B496" s="66"/>
      <c r="C496" s="66"/>
      <c r="D496" s="66"/>
      <c r="E496" s="66"/>
      <c r="G496" s="3"/>
      <c r="H496" s="68"/>
      <c r="I496" s="68"/>
      <c r="J496" s="68"/>
      <c r="K496" s="68"/>
    </row>
    <row r="497" spans="1:11">
      <c r="A497" s="3"/>
      <c r="B497" s="66"/>
      <c r="C497" s="66"/>
      <c r="D497" s="66"/>
      <c r="E497" s="66"/>
      <c r="G497" s="3"/>
      <c r="H497" s="68"/>
      <c r="I497" s="68"/>
      <c r="J497" s="68"/>
      <c r="K497" s="68"/>
    </row>
    <row r="498" spans="1:11">
      <c r="A498" s="3"/>
      <c r="B498" s="66"/>
      <c r="C498" s="66"/>
      <c r="D498" s="66"/>
      <c r="E498" s="66"/>
      <c r="G498" s="3"/>
      <c r="H498" s="68"/>
      <c r="I498" s="68"/>
      <c r="J498" s="68"/>
      <c r="K498" s="68"/>
    </row>
    <row r="499" spans="1:11">
      <c r="A499" s="3"/>
      <c r="B499" s="66"/>
      <c r="C499" s="66"/>
      <c r="D499" s="66"/>
      <c r="E499" s="66"/>
      <c r="G499" s="3"/>
      <c r="H499" s="68"/>
      <c r="I499" s="68"/>
      <c r="J499" s="68"/>
      <c r="K499" s="68"/>
    </row>
    <row r="500" spans="1:11">
      <c r="A500" s="3"/>
      <c r="B500" s="66"/>
      <c r="C500" s="66"/>
      <c r="D500" s="66"/>
      <c r="E500" s="66"/>
      <c r="G500" s="3"/>
      <c r="H500" s="68"/>
      <c r="I500" s="68"/>
      <c r="J500" s="68"/>
      <c r="K500" s="68"/>
    </row>
    <row r="501" spans="1:11">
      <c r="A501" s="3"/>
      <c r="B501" s="66"/>
      <c r="C501" s="66"/>
      <c r="D501" s="66"/>
      <c r="E501" s="66"/>
      <c r="G501" s="3"/>
      <c r="H501" s="68"/>
      <c r="I501" s="68"/>
      <c r="J501" s="68"/>
      <c r="K501" s="68"/>
    </row>
    <row r="502" spans="1:11">
      <c r="A502" s="3"/>
      <c r="B502" s="66"/>
      <c r="C502" s="66"/>
      <c r="D502" s="66"/>
      <c r="E502" s="66"/>
      <c r="G502" s="3"/>
      <c r="H502" s="68"/>
      <c r="I502" s="68"/>
      <c r="J502" s="68"/>
      <c r="K502" s="68"/>
    </row>
    <row r="503" spans="1:11">
      <c r="A503" s="3"/>
      <c r="B503" s="66"/>
      <c r="C503" s="66"/>
      <c r="D503" s="66"/>
      <c r="E503" s="66"/>
      <c r="G503" s="3"/>
      <c r="H503" s="68"/>
      <c r="I503" s="68"/>
      <c r="J503" s="68"/>
      <c r="K503" s="68"/>
    </row>
    <row r="504" spans="1:11">
      <c r="A504" s="3"/>
      <c r="B504" s="66"/>
      <c r="C504" s="66"/>
      <c r="D504" s="66"/>
      <c r="E504" s="66"/>
      <c r="G504" s="3"/>
      <c r="H504" s="68"/>
      <c r="I504" s="68"/>
      <c r="J504" s="68"/>
      <c r="K504" s="68"/>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00"/>
  <sheetViews>
    <sheetView topLeftCell="G1" workbookViewId="0">
      <selection activeCell="O12" sqref="O12"/>
    </sheetView>
  </sheetViews>
  <sheetFormatPr defaultColWidth="9.07352941176471" defaultRowHeight="15" customHeight="1"/>
  <cols>
    <col min="1" max="1" width="30.9264705882353" style="31" customWidth="1"/>
    <col min="2" max="3" width="18.9264705882353" style="51" customWidth="1"/>
    <col min="4" max="4" width="16.8602941176471" style="51" customWidth="1"/>
    <col min="5" max="5" width="18.9264705882353" style="51" customWidth="1"/>
    <col min="7" max="7" width="30.9264705882353" style="31" customWidth="1"/>
    <col min="8" max="11" width="18.9264705882353" style="52" customWidth="1"/>
  </cols>
  <sheetData>
    <row r="1" ht="19.5" customHeight="1" spans="1:11">
      <c r="A1" s="53" t="s">
        <v>6</v>
      </c>
      <c r="B1" s="54" t="str">
        <f>基本信息!B1</f>
        <v>最新一期</v>
      </c>
      <c r="C1" s="55" t="str">
        <f>基本信息!C1</f>
        <v>20xx年</v>
      </c>
      <c r="D1" s="55" t="str">
        <f>基本信息!D1</f>
        <v>20xx年</v>
      </c>
      <c r="E1" s="55" t="str">
        <f>基本信息!E1</f>
        <v>20xx年</v>
      </c>
      <c r="G1" s="56" t="s">
        <v>7</v>
      </c>
      <c r="H1" s="57" t="str">
        <f>B1</f>
        <v>最新一期</v>
      </c>
      <c r="I1" s="57" t="str">
        <f>C1</f>
        <v>20xx年</v>
      </c>
      <c r="J1" s="57" t="str">
        <f>D1</f>
        <v>20xx年</v>
      </c>
      <c r="K1" s="57" t="str">
        <f>E1</f>
        <v>20xx年</v>
      </c>
    </row>
    <row r="2" ht="13.5" customHeight="1" spans="1:11">
      <c r="A2" s="58" t="s">
        <v>133</v>
      </c>
      <c r="B2" s="59"/>
      <c r="C2" s="59"/>
      <c r="D2" s="59"/>
      <c r="E2" s="59"/>
      <c r="F2" s="39"/>
      <c r="G2" s="60" t="s">
        <v>133</v>
      </c>
      <c r="H2" s="59" t="s">
        <v>9</v>
      </c>
      <c r="I2" s="59" t="s">
        <v>9</v>
      </c>
      <c r="J2" s="59" t="s">
        <v>9</v>
      </c>
      <c r="K2" s="59" t="s">
        <v>9</v>
      </c>
    </row>
    <row r="3" ht="13.5" customHeight="1" spans="1:11">
      <c r="A3" s="61" t="s">
        <v>134</v>
      </c>
      <c r="B3" s="38"/>
      <c r="C3" s="38"/>
      <c r="D3" s="38"/>
      <c r="E3" s="38"/>
      <c r="F3" s="39"/>
      <c r="G3" s="62" t="s">
        <v>134</v>
      </c>
      <c r="H3" s="38">
        <f>B3/10000</f>
        <v>0</v>
      </c>
      <c r="I3" s="38">
        <f>C3/10000</f>
        <v>0</v>
      </c>
      <c r="J3" s="38">
        <f>D3/10000</f>
        <v>0</v>
      </c>
      <c r="K3" s="38">
        <f>E3/10000</f>
        <v>0</v>
      </c>
    </row>
    <row r="4" ht="13.5" customHeight="1" spans="1:11">
      <c r="A4" s="61" t="s">
        <v>135</v>
      </c>
      <c r="B4" s="38"/>
      <c r="C4" s="38"/>
      <c r="D4" s="38"/>
      <c r="E4" s="38"/>
      <c r="F4" s="39"/>
      <c r="G4" s="62" t="s">
        <v>135</v>
      </c>
      <c r="H4" s="38">
        <f>B4/10000</f>
        <v>0</v>
      </c>
      <c r="I4" s="38">
        <f>C4/10000</f>
        <v>0</v>
      </c>
      <c r="J4" s="38">
        <f>D4/10000</f>
        <v>0</v>
      </c>
      <c r="K4" s="38">
        <f>E4/10000</f>
        <v>0</v>
      </c>
    </row>
    <row r="5" ht="13.5" customHeight="1" spans="1:11">
      <c r="A5" s="61" t="s">
        <v>136</v>
      </c>
      <c r="B5" s="38"/>
      <c r="C5" s="38"/>
      <c r="D5" s="38"/>
      <c r="E5" s="38"/>
      <c r="F5" s="39"/>
      <c r="G5" s="62" t="s">
        <v>136</v>
      </c>
      <c r="H5" s="38">
        <f>B5/10000</f>
        <v>0</v>
      </c>
      <c r="I5" s="38">
        <f>C5/10000</f>
        <v>0</v>
      </c>
      <c r="J5" s="38">
        <f>D5/10000</f>
        <v>0</v>
      </c>
      <c r="K5" s="38">
        <f>E5/10000</f>
        <v>0</v>
      </c>
    </row>
    <row r="6" ht="13.5" customHeight="1" spans="1:11">
      <c r="A6" s="53" t="s">
        <v>137</v>
      </c>
      <c r="B6" s="63">
        <f>SUM(B3:B5)</f>
        <v>0</v>
      </c>
      <c r="C6" s="63">
        <f>SUM(C3:C5)</f>
        <v>0</v>
      </c>
      <c r="D6" s="63">
        <f>SUM(D3:D5)</f>
        <v>0</v>
      </c>
      <c r="E6" s="63">
        <f>SUM(E3:E5)</f>
        <v>0</v>
      </c>
      <c r="F6" s="39"/>
      <c r="G6" s="56" t="s">
        <v>137</v>
      </c>
      <c r="H6" s="63">
        <f>SUM(H3:H5)</f>
        <v>0</v>
      </c>
      <c r="I6" s="63">
        <f>SUM(I3:I5)</f>
        <v>0</v>
      </c>
      <c r="J6" s="63">
        <f>SUM(J3:J5)</f>
        <v>0</v>
      </c>
      <c r="K6" s="64">
        <f>SUM(K3:K5)</f>
        <v>0</v>
      </c>
    </row>
    <row r="7" ht="13.5" customHeight="1" spans="1:11">
      <c r="A7" s="61" t="s">
        <v>138</v>
      </c>
      <c r="B7" s="38"/>
      <c r="C7" s="38"/>
      <c r="D7" s="38"/>
      <c r="E7" s="38"/>
      <c r="F7" s="39"/>
      <c r="G7" s="62" t="s">
        <v>138</v>
      </c>
      <c r="H7" s="38">
        <f>B7/10000</f>
        <v>0</v>
      </c>
      <c r="I7" s="38">
        <f>C7/10000</f>
        <v>0</v>
      </c>
      <c r="J7" s="38">
        <f>D7/10000</f>
        <v>0</v>
      </c>
      <c r="K7" s="38">
        <f>E7/10000</f>
        <v>0</v>
      </c>
    </row>
    <row r="8" ht="13.5" customHeight="1" spans="1:11">
      <c r="A8" s="61" t="s">
        <v>139</v>
      </c>
      <c r="B8" s="38"/>
      <c r="C8" s="38"/>
      <c r="D8" s="38"/>
      <c r="E8" s="38"/>
      <c r="F8" s="39"/>
      <c r="G8" s="62" t="s">
        <v>139</v>
      </c>
      <c r="H8" s="38">
        <f>B8/10000</f>
        <v>0</v>
      </c>
      <c r="I8" s="38">
        <f>C8/10000</f>
        <v>0</v>
      </c>
      <c r="J8" s="38">
        <f>D8/10000</f>
        <v>0</v>
      </c>
      <c r="K8" s="38">
        <f>E8/10000</f>
        <v>0</v>
      </c>
    </row>
    <row r="9" ht="13.5" customHeight="1" spans="1:11">
      <c r="A9" s="61" t="s">
        <v>140</v>
      </c>
      <c r="B9" s="38"/>
      <c r="C9" s="38"/>
      <c r="D9" s="38"/>
      <c r="E9" s="38"/>
      <c r="F9" s="39"/>
      <c r="G9" s="62" t="s">
        <v>140</v>
      </c>
      <c r="H9" s="38">
        <f>B9/10000</f>
        <v>0</v>
      </c>
      <c r="I9" s="38">
        <f>C9/10000</f>
        <v>0</v>
      </c>
      <c r="J9" s="38">
        <f>D9/10000</f>
        <v>0</v>
      </c>
      <c r="K9" s="38">
        <f>E9/10000</f>
        <v>0</v>
      </c>
    </row>
    <row r="10" ht="13.5" customHeight="1" spans="1:11">
      <c r="A10" s="61" t="s">
        <v>141</v>
      </c>
      <c r="B10" s="38"/>
      <c r="C10" s="38"/>
      <c r="D10" s="38"/>
      <c r="E10" s="38"/>
      <c r="F10" s="39"/>
      <c r="G10" s="62" t="s">
        <v>141</v>
      </c>
      <c r="H10" s="38">
        <f>B10/10000</f>
        <v>0</v>
      </c>
      <c r="I10" s="38">
        <f>C10/10000</f>
        <v>0</v>
      </c>
      <c r="J10" s="38">
        <f>D10/10000</f>
        <v>0</v>
      </c>
      <c r="K10" s="38">
        <f>E10/10000</f>
        <v>0</v>
      </c>
    </row>
    <row r="11" ht="13.5" customHeight="1" spans="1:11">
      <c r="A11" s="53" t="s">
        <v>142</v>
      </c>
      <c r="B11" s="63">
        <f>SUM(B7:B10)</f>
        <v>0</v>
      </c>
      <c r="C11" s="63">
        <f>SUM(C7:C10)</f>
        <v>0</v>
      </c>
      <c r="D11" s="63">
        <f>SUM(D7:D10)</f>
        <v>0</v>
      </c>
      <c r="E11" s="63">
        <f>SUM(E7:E10)</f>
        <v>0</v>
      </c>
      <c r="F11" s="39"/>
      <c r="G11" s="56" t="s">
        <v>142</v>
      </c>
      <c r="H11" s="63">
        <f>SUM(H7:H10)</f>
        <v>0</v>
      </c>
      <c r="I11" s="63">
        <f>SUM(I7:I10)</f>
        <v>0</v>
      </c>
      <c r="J11" s="63">
        <f>SUM(J7:J10)</f>
        <v>0</v>
      </c>
      <c r="K11" s="63">
        <f>SUM(K7:K10)</f>
        <v>0</v>
      </c>
    </row>
    <row r="12" ht="13.5" customHeight="1" spans="1:11">
      <c r="A12" s="53" t="s">
        <v>143</v>
      </c>
      <c r="B12" s="63">
        <f>B6-B11</f>
        <v>0</v>
      </c>
      <c r="C12" s="63">
        <f>C6-C11</f>
        <v>0</v>
      </c>
      <c r="D12" s="63">
        <f>D6-D11</f>
        <v>0</v>
      </c>
      <c r="E12" s="63">
        <f>E6-E11</f>
        <v>0</v>
      </c>
      <c r="F12" s="39"/>
      <c r="G12" s="56" t="s">
        <v>143</v>
      </c>
      <c r="H12" s="63">
        <f>H6-H11</f>
        <v>0</v>
      </c>
      <c r="I12" s="63">
        <f>I6-I11</f>
        <v>0</v>
      </c>
      <c r="J12" s="63">
        <f>J6-J11</f>
        <v>0</v>
      </c>
      <c r="K12" s="63">
        <f>K6-K11</f>
        <v>0</v>
      </c>
    </row>
    <row r="13" ht="13.5" customHeight="1" spans="1:11">
      <c r="A13" s="58" t="s">
        <v>144</v>
      </c>
      <c r="B13" s="59" t="s">
        <v>9</v>
      </c>
      <c r="C13" s="59" t="s">
        <v>9</v>
      </c>
      <c r="D13" s="59" t="s">
        <v>9</v>
      </c>
      <c r="E13" s="59" t="s">
        <v>9</v>
      </c>
      <c r="F13" s="39"/>
      <c r="G13" s="60" t="s">
        <v>144</v>
      </c>
      <c r="H13" s="59" t="s">
        <v>9</v>
      </c>
      <c r="I13" s="59" t="s">
        <v>9</v>
      </c>
      <c r="J13" s="59" t="s">
        <v>9</v>
      </c>
      <c r="K13" s="59" t="s">
        <v>9</v>
      </c>
    </row>
    <row r="14" ht="13.5" customHeight="1" spans="1:11">
      <c r="A14" s="61" t="s">
        <v>145</v>
      </c>
      <c r="B14" s="38"/>
      <c r="C14" s="38"/>
      <c r="D14" s="38"/>
      <c r="E14" s="38"/>
      <c r="F14" s="39"/>
      <c r="G14" s="62" t="s">
        <v>145</v>
      </c>
      <c r="H14" s="38">
        <f>B14/10000</f>
        <v>0</v>
      </c>
      <c r="I14" s="38">
        <f>C14/10000</f>
        <v>0</v>
      </c>
      <c r="J14" s="38">
        <f>D14/10000</f>
        <v>0</v>
      </c>
      <c r="K14" s="38">
        <f>E14/10000</f>
        <v>0</v>
      </c>
    </row>
    <row r="15" ht="13.5" customHeight="1" spans="1:11">
      <c r="A15" s="62" t="s">
        <v>146</v>
      </c>
      <c r="B15" s="38"/>
      <c r="C15" s="38"/>
      <c r="D15" s="38"/>
      <c r="E15" s="38"/>
      <c r="F15" s="39"/>
      <c r="G15" s="62" t="s">
        <v>146</v>
      </c>
      <c r="H15" s="38">
        <f>B15/10000</f>
        <v>0</v>
      </c>
      <c r="I15" s="38">
        <f>C15/10000</f>
        <v>0</v>
      </c>
      <c r="J15" s="38">
        <f>D15/10000</f>
        <v>0</v>
      </c>
      <c r="K15" s="38">
        <f>E15/10000</f>
        <v>0</v>
      </c>
    </row>
    <row r="16" ht="27.75" customHeight="1" spans="1:11">
      <c r="A16" s="62" t="s">
        <v>147</v>
      </c>
      <c r="B16" s="38"/>
      <c r="C16" s="38"/>
      <c r="D16" s="38"/>
      <c r="E16" s="38"/>
      <c r="F16" s="39"/>
      <c r="G16" s="62" t="s">
        <v>147</v>
      </c>
      <c r="H16" s="38">
        <f>B16/10000</f>
        <v>0</v>
      </c>
      <c r="I16" s="38">
        <f>C16/10000</f>
        <v>0</v>
      </c>
      <c r="J16" s="38">
        <f>D16/10000</f>
        <v>0</v>
      </c>
      <c r="K16" s="38">
        <f>E16/10000</f>
        <v>0</v>
      </c>
    </row>
    <row r="17" ht="27.75" customHeight="1" spans="1:11">
      <c r="A17" s="62" t="s">
        <v>148</v>
      </c>
      <c r="B17" s="38"/>
      <c r="C17" s="38"/>
      <c r="D17" s="38"/>
      <c r="E17" s="38"/>
      <c r="F17" s="39"/>
      <c r="G17" s="62" t="s">
        <v>148</v>
      </c>
      <c r="H17" s="38">
        <f>B17/10000</f>
        <v>0</v>
      </c>
      <c r="I17" s="38">
        <f>C17/10000</f>
        <v>0</v>
      </c>
      <c r="J17" s="38">
        <f>D17/10000</f>
        <v>0</v>
      </c>
      <c r="K17" s="38">
        <f>E17/10000</f>
        <v>0</v>
      </c>
    </row>
    <row r="18" ht="13.5" customHeight="1" spans="1:11">
      <c r="A18" s="62" t="s">
        <v>149</v>
      </c>
      <c r="B18" s="38"/>
      <c r="C18" s="38"/>
      <c r="D18" s="38"/>
      <c r="E18" s="38"/>
      <c r="F18" s="39"/>
      <c r="G18" s="62" t="s">
        <v>149</v>
      </c>
      <c r="H18" s="38">
        <f>B18/10000</f>
        <v>0</v>
      </c>
      <c r="I18" s="38">
        <f>C18/10000</f>
        <v>0</v>
      </c>
      <c r="J18" s="38">
        <f>D18/10000</f>
        <v>0</v>
      </c>
      <c r="K18" s="38">
        <f>E18/10000</f>
        <v>0</v>
      </c>
    </row>
    <row r="19" ht="13.5" customHeight="1" spans="1:11">
      <c r="A19" s="56" t="s">
        <v>150</v>
      </c>
      <c r="B19" s="63">
        <f>SUM(B14:B18)</f>
        <v>0</v>
      </c>
      <c r="C19" s="63">
        <f>SUM(C14:C18)</f>
        <v>0</v>
      </c>
      <c r="D19" s="63">
        <f>SUM(D14:D18)</f>
        <v>0</v>
      </c>
      <c r="E19" s="63">
        <f>SUM(E14:E18)</f>
        <v>0</v>
      </c>
      <c r="F19" s="39"/>
      <c r="G19" s="56" t="s">
        <v>150</v>
      </c>
      <c r="H19" s="63">
        <f>SUM(H14:H18)</f>
        <v>0</v>
      </c>
      <c r="I19" s="63">
        <f>SUM(I14:I18)</f>
        <v>0</v>
      </c>
      <c r="J19" s="63">
        <f>SUM(J14:J18)</f>
        <v>0</v>
      </c>
      <c r="K19" s="63">
        <f>SUM(K14:K18)</f>
        <v>0</v>
      </c>
    </row>
    <row r="20" ht="27.75" customHeight="1" spans="1:11">
      <c r="A20" s="62" t="s">
        <v>151</v>
      </c>
      <c r="B20" s="38"/>
      <c r="C20" s="38"/>
      <c r="D20" s="38"/>
      <c r="E20" s="38"/>
      <c r="F20" s="39"/>
      <c r="G20" s="62" t="s">
        <v>151</v>
      </c>
      <c r="H20" s="38">
        <f>B20/10000</f>
        <v>0</v>
      </c>
      <c r="I20" s="38">
        <f>C20/10000</f>
        <v>0</v>
      </c>
      <c r="J20" s="38">
        <f>D20/10000</f>
        <v>0</v>
      </c>
      <c r="K20" s="38">
        <f>E20/10000</f>
        <v>0</v>
      </c>
    </row>
    <row r="21" ht="13.5" customHeight="1" spans="1:11">
      <c r="A21" s="62" t="s">
        <v>152</v>
      </c>
      <c r="B21" s="38"/>
      <c r="C21" s="38"/>
      <c r="D21" s="38"/>
      <c r="E21" s="38"/>
      <c r="F21" s="39"/>
      <c r="G21" s="62" t="s">
        <v>152</v>
      </c>
      <c r="H21" s="38">
        <f>B21/10000</f>
        <v>0</v>
      </c>
      <c r="I21" s="38">
        <f>C21/10000</f>
        <v>0</v>
      </c>
      <c r="J21" s="38">
        <f>D21/10000</f>
        <v>0</v>
      </c>
      <c r="K21" s="38">
        <f>E21/10000</f>
        <v>0</v>
      </c>
    </row>
    <row r="22" ht="27.75" customHeight="1" spans="1:11">
      <c r="A22" s="62" t="s">
        <v>153</v>
      </c>
      <c r="B22" s="38"/>
      <c r="C22" s="38"/>
      <c r="D22" s="38"/>
      <c r="E22" s="38"/>
      <c r="F22" s="39"/>
      <c r="G22" s="62" t="s">
        <v>153</v>
      </c>
      <c r="H22" s="38">
        <f>B22/10000</f>
        <v>0</v>
      </c>
      <c r="I22" s="38">
        <f>C22/10000</f>
        <v>0</v>
      </c>
      <c r="J22" s="38">
        <f>D22/10000</f>
        <v>0</v>
      </c>
      <c r="K22" s="38">
        <f>E22/10000</f>
        <v>0</v>
      </c>
    </row>
    <row r="23" ht="13.5" customHeight="1" spans="1:11">
      <c r="A23" s="62" t="s">
        <v>154</v>
      </c>
      <c r="B23" s="38"/>
      <c r="C23" s="38"/>
      <c r="D23" s="38"/>
      <c r="E23" s="38"/>
      <c r="F23" s="39"/>
      <c r="G23" s="62" t="s">
        <v>154</v>
      </c>
      <c r="H23" s="38">
        <f>B23/10000</f>
        <v>0</v>
      </c>
      <c r="I23" s="38">
        <f>C23/10000</f>
        <v>0</v>
      </c>
      <c r="J23" s="38">
        <f>D23/10000</f>
        <v>0</v>
      </c>
      <c r="K23" s="38">
        <f>E23/10000</f>
        <v>0</v>
      </c>
    </row>
    <row r="24" ht="13.5" customHeight="1" spans="1:11">
      <c r="A24" s="56" t="s">
        <v>155</v>
      </c>
      <c r="B24" s="63">
        <f>SUM(B20:B23)</f>
        <v>0</v>
      </c>
      <c r="C24" s="63">
        <f>SUM(C20:C23)</f>
        <v>0</v>
      </c>
      <c r="D24" s="63">
        <f>SUM(D20:D23)</f>
        <v>0</v>
      </c>
      <c r="E24" s="63">
        <f>SUM(E20:E23)</f>
        <v>0</v>
      </c>
      <c r="F24" s="39"/>
      <c r="G24" s="56" t="s">
        <v>155</v>
      </c>
      <c r="H24" s="63">
        <f>SUM(H20:H23)</f>
        <v>0</v>
      </c>
      <c r="I24" s="63">
        <f>SUM(I20:I23)</f>
        <v>0</v>
      </c>
      <c r="J24" s="63">
        <f>SUM(J20:J23)</f>
        <v>0</v>
      </c>
      <c r="K24" s="63">
        <f>SUM(K20:K23)</f>
        <v>0</v>
      </c>
    </row>
    <row r="25" ht="13.5" customHeight="1" spans="1:11">
      <c r="A25" s="56" t="s">
        <v>156</v>
      </c>
      <c r="B25" s="63">
        <f>B19-B24</f>
        <v>0</v>
      </c>
      <c r="C25" s="63">
        <f>C19-C24</f>
        <v>0</v>
      </c>
      <c r="D25" s="63">
        <f>D19-D24</f>
        <v>0</v>
      </c>
      <c r="E25" s="63">
        <f>E19-E24</f>
        <v>0</v>
      </c>
      <c r="F25" s="39"/>
      <c r="G25" s="56" t="s">
        <v>156</v>
      </c>
      <c r="H25" s="63">
        <f>H19-H24</f>
        <v>0</v>
      </c>
      <c r="I25" s="63">
        <f>I19-I24</f>
        <v>0</v>
      </c>
      <c r="J25" s="63">
        <f>J19-J24</f>
        <v>0</v>
      </c>
      <c r="K25" s="63">
        <f>K19-K24</f>
        <v>0</v>
      </c>
    </row>
    <row r="26" ht="13.5" customHeight="1" spans="1:11">
      <c r="A26" s="60" t="s">
        <v>157</v>
      </c>
      <c r="B26" s="59" t="s">
        <v>9</v>
      </c>
      <c r="C26" s="59" t="s">
        <v>9</v>
      </c>
      <c r="D26" s="59" t="s">
        <v>9</v>
      </c>
      <c r="E26" s="59" t="s">
        <v>9</v>
      </c>
      <c r="F26" s="39"/>
      <c r="G26" s="60" t="s">
        <v>157</v>
      </c>
      <c r="H26" s="59" t="s">
        <v>9</v>
      </c>
      <c r="I26" s="59" t="s">
        <v>9</v>
      </c>
      <c r="J26" s="59" t="s">
        <v>9</v>
      </c>
      <c r="K26" s="59" t="s">
        <v>9</v>
      </c>
    </row>
    <row r="27" ht="13.5" customHeight="1" spans="1:11">
      <c r="A27" s="62" t="s">
        <v>158</v>
      </c>
      <c r="B27" s="38"/>
      <c r="C27" s="38"/>
      <c r="D27" s="38"/>
      <c r="E27" s="38"/>
      <c r="F27" s="39"/>
      <c r="G27" s="62" t="s">
        <v>158</v>
      </c>
      <c r="H27" s="38">
        <f>B27/10000</f>
        <v>0</v>
      </c>
      <c r="I27" s="38">
        <f>C27/10000</f>
        <v>0</v>
      </c>
      <c r="J27" s="38">
        <f>D27/10000</f>
        <v>0</v>
      </c>
      <c r="K27" s="38">
        <f>E27/10000</f>
        <v>0</v>
      </c>
    </row>
    <row r="28" ht="13.5" customHeight="1" spans="1:11">
      <c r="A28" s="62" t="s">
        <v>159</v>
      </c>
      <c r="B28" s="38"/>
      <c r="C28" s="38"/>
      <c r="D28" s="38"/>
      <c r="E28" s="38"/>
      <c r="F28" s="39"/>
      <c r="G28" s="62" t="s">
        <v>159</v>
      </c>
      <c r="H28" s="38">
        <f>B28/10000</f>
        <v>0</v>
      </c>
      <c r="I28" s="38">
        <f>C28/10000</f>
        <v>0</v>
      </c>
      <c r="J28" s="38">
        <f>D28/10000</f>
        <v>0</v>
      </c>
      <c r="K28" s="38">
        <f>E28/10000</f>
        <v>0</v>
      </c>
    </row>
    <row r="29" ht="13.5" customHeight="1" spans="1:11">
      <c r="A29" s="62" t="s">
        <v>160</v>
      </c>
      <c r="B29" s="38"/>
      <c r="C29" s="38"/>
      <c r="D29" s="38"/>
      <c r="E29" s="38"/>
      <c r="F29" s="39"/>
      <c r="G29" s="62" t="s">
        <v>160</v>
      </c>
      <c r="H29" s="38">
        <f>B29/10000</f>
        <v>0</v>
      </c>
      <c r="I29" s="38">
        <f>C29/10000</f>
        <v>0</v>
      </c>
      <c r="J29" s="38">
        <f>D29/10000</f>
        <v>0</v>
      </c>
      <c r="K29" s="38">
        <f>E29/10000</f>
        <v>0</v>
      </c>
    </row>
    <row r="30" ht="13.5" customHeight="1" spans="1:11">
      <c r="A30" s="56" t="s">
        <v>161</v>
      </c>
      <c r="B30" s="63">
        <f>SUM(B27:B29)</f>
        <v>0</v>
      </c>
      <c r="C30" s="63">
        <f>SUM(C27:C29)</f>
        <v>0</v>
      </c>
      <c r="D30" s="63">
        <f>SUM(D27:D29)</f>
        <v>0</v>
      </c>
      <c r="E30" s="63">
        <f>SUM(E27:E29)</f>
        <v>0</v>
      </c>
      <c r="F30" s="39"/>
      <c r="G30" s="56" t="s">
        <v>161</v>
      </c>
      <c r="H30" s="63">
        <f>SUM(H27:H29)</f>
        <v>0</v>
      </c>
      <c r="I30" s="63">
        <f>SUM(I27:I29)</f>
        <v>0</v>
      </c>
      <c r="J30" s="63">
        <f>SUM(J27:J29)</f>
        <v>0</v>
      </c>
      <c r="K30" s="63">
        <f>SUM(K27:K29)</f>
        <v>0</v>
      </c>
    </row>
    <row r="31" ht="13.5" customHeight="1" spans="1:11">
      <c r="A31" s="62" t="s">
        <v>162</v>
      </c>
      <c r="B31" s="38"/>
      <c r="C31" s="38"/>
      <c r="D31" s="38"/>
      <c r="E31" s="38"/>
      <c r="F31" s="39"/>
      <c r="G31" s="62" t="s">
        <v>162</v>
      </c>
      <c r="H31" s="38">
        <f>B31/10000</f>
        <v>0</v>
      </c>
      <c r="I31" s="38">
        <f>C31/10000</f>
        <v>0</v>
      </c>
      <c r="J31" s="38">
        <f>D31/10000</f>
        <v>0</v>
      </c>
      <c r="K31" s="38">
        <f>E31/10000</f>
        <v>0</v>
      </c>
    </row>
    <row r="32" ht="27.75" customHeight="1" spans="1:11">
      <c r="A32" s="62" t="s">
        <v>163</v>
      </c>
      <c r="B32" s="38"/>
      <c r="C32" s="38"/>
      <c r="D32" s="38"/>
      <c r="E32" s="38"/>
      <c r="F32" s="39"/>
      <c r="G32" s="62" t="s">
        <v>163</v>
      </c>
      <c r="H32" s="38">
        <f>B32/10000</f>
        <v>0</v>
      </c>
      <c r="I32" s="38">
        <f>C32/10000</f>
        <v>0</v>
      </c>
      <c r="J32" s="38">
        <f>D32/10000</f>
        <v>0</v>
      </c>
      <c r="K32" s="38">
        <f>E32/10000</f>
        <v>0</v>
      </c>
    </row>
    <row r="33" ht="13.5" customHeight="1" spans="1:11">
      <c r="A33" s="62" t="s">
        <v>164</v>
      </c>
      <c r="B33" s="38"/>
      <c r="C33" s="38"/>
      <c r="D33" s="38"/>
      <c r="E33" s="38"/>
      <c r="F33" s="39"/>
      <c r="G33" s="62" t="s">
        <v>164</v>
      </c>
      <c r="H33" s="38">
        <f>B33/10000</f>
        <v>0</v>
      </c>
      <c r="I33" s="38">
        <f>C33/10000</f>
        <v>0</v>
      </c>
      <c r="J33" s="38">
        <f>D33/10000</f>
        <v>0</v>
      </c>
      <c r="K33" s="38">
        <f>E33/10000</f>
        <v>0</v>
      </c>
    </row>
    <row r="34" ht="13.5" customHeight="1" spans="1:11">
      <c r="A34" s="56" t="s">
        <v>165</v>
      </c>
      <c r="B34" s="63">
        <f>SUM(B31:B33)</f>
        <v>0</v>
      </c>
      <c r="C34" s="63">
        <f>SUM(C31:C33)</f>
        <v>0</v>
      </c>
      <c r="D34" s="63">
        <f>SUM(D31:D33)</f>
        <v>0</v>
      </c>
      <c r="E34" s="63">
        <f>SUM(E31:E33)</f>
        <v>0</v>
      </c>
      <c r="F34" s="39"/>
      <c r="G34" s="56" t="s">
        <v>165</v>
      </c>
      <c r="H34" s="63">
        <f>SUM(H31:H33)</f>
        <v>0</v>
      </c>
      <c r="I34" s="63">
        <f>SUM(I31:I33)</f>
        <v>0</v>
      </c>
      <c r="J34" s="63">
        <f>SUM(J31:J33)</f>
        <v>0</v>
      </c>
      <c r="K34" s="63">
        <f>SUM(K31:K33)</f>
        <v>0</v>
      </c>
    </row>
    <row r="35" ht="13.5" customHeight="1" spans="1:11">
      <c r="A35" s="56" t="s">
        <v>166</v>
      </c>
      <c r="B35" s="63">
        <f>B30-B34</f>
        <v>0</v>
      </c>
      <c r="C35" s="63">
        <f>C30-C34</f>
        <v>0</v>
      </c>
      <c r="D35" s="63">
        <f>D30-D34</f>
        <v>0</v>
      </c>
      <c r="E35" s="63">
        <f>E30-E34</f>
        <v>0</v>
      </c>
      <c r="F35" s="39"/>
      <c r="G35" s="56" t="s">
        <v>166</v>
      </c>
      <c r="H35" s="63">
        <f>H30-H34</f>
        <v>0</v>
      </c>
      <c r="I35" s="63">
        <f>I30-I34</f>
        <v>0</v>
      </c>
      <c r="J35" s="63">
        <f>J30-J34</f>
        <v>0</v>
      </c>
      <c r="K35" s="63">
        <f>K30-K34</f>
        <v>0</v>
      </c>
    </row>
    <row r="36" ht="27.75" customHeight="1" spans="1:11">
      <c r="A36" s="60" t="s">
        <v>167</v>
      </c>
      <c r="B36" s="38"/>
      <c r="C36" s="38"/>
      <c r="D36" s="38"/>
      <c r="E36" s="38"/>
      <c r="F36" s="39"/>
      <c r="G36" s="60" t="s">
        <v>167</v>
      </c>
      <c r="H36" s="38">
        <f>B36/10000</f>
        <v>0</v>
      </c>
      <c r="I36" s="38">
        <f>C36/10000</f>
        <v>0</v>
      </c>
      <c r="J36" s="38">
        <f>D36/10000</f>
        <v>0</v>
      </c>
      <c r="K36" s="38">
        <f>E36/10000</f>
        <v>0</v>
      </c>
    </row>
    <row r="37" ht="13.5" customHeight="1" spans="1:11">
      <c r="A37" s="60" t="s">
        <v>168</v>
      </c>
      <c r="B37" s="63">
        <f>B12+B25+B35+B36</f>
        <v>0</v>
      </c>
      <c r="C37" s="63">
        <f>C12+C25+C35+C36</f>
        <v>0</v>
      </c>
      <c r="D37" s="63">
        <f>D12+D25+D35+D36</f>
        <v>0</v>
      </c>
      <c r="E37" s="63">
        <f>E12+E25+E35+E36</f>
        <v>0</v>
      </c>
      <c r="F37" s="39"/>
      <c r="G37" s="60" t="s">
        <v>168</v>
      </c>
      <c r="H37" s="63">
        <f>H12+H25+H35+H36</f>
        <v>0</v>
      </c>
      <c r="I37" s="63">
        <f>I12+I25+I35+I36</f>
        <v>0</v>
      </c>
      <c r="J37" s="63">
        <f>J12+J25+J35+J36</f>
        <v>0</v>
      </c>
      <c r="K37" s="63">
        <f>K12+K25+K35+K36</f>
        <v>0</v>
      </c>
    </row>
    <row r="38" ht="13.5" customHeight="1" spans="1:11">
      <c r="A38" s="62" t="s">
        <v>169</v>
      </c>
      <c r="B38" s="38"/>
      <c r="C38" s="38"/>
      <c r="D38" s="38"/>
      <c r="E38" s="38"/>
      <c r="F38" s="39"/>
      <c r="G38" s="62" t="s">
        <v>169</v>
      </c>
      <c r="H38" s="38">
        <f>B38/10000</f>
        <v>0</v>
      </c>
      <c r="I38" s="38">
        <f>C38/10000</f>
        <v>0</v>
      </c>
      <c r="J38" s="38">
        <f>D38/10000</f>
        <v>0</v>
      </c>
      <c r="K38" s="38">
        <f>E38/10000</f>
        <v>0</v>
      </c>
    </row>
    <row r="39" ht="13.5" customHeight="1" spans="1:11">
      <c r="A39" s="60" t="s">
        <v>170</v>
      </c>
      <c r="B39" s="63">
        <f>B37+B38</f>
        <v>0</v>
      </c>
      <c r="C39" s="63">
        <f>C37+C38</f>
        <v>0</v>
      </c>
      <c r="D39" s="63">
        <f>D37+D38</f>
        <v>0</v>
      </c>
      <c r="E39" s="63">
        <f>E37+E38</f>
        <v>0</v>
      </c>
      <c r="F39" s="39"/>
      <c r="G39" s="60" t="s">
        <v>170</v>
      </c>
      <c r="H39" s="63">
        <f>H37+H38</f>
        <v>0</v>
      </c>
      <c r="I39" s="63">
        <f>I37+I38</f>
        <v>0</v>
      </c>
      <c r="J39" s="63">
        <f>J37+J38</f>
        <v>0</v>
      </c>
      <c r="K39" s="63">
        <f>K37+K38</f>
        <v>0</v>
      </c>
    </row>
    <row r="40" ht="13.5" customHeight="1" spans="1:11">
      <c r="A40" s="65"/>
      <c r="B40" s="66"/>
      <c r="C40" s="67"/>
      <c r="D40" s="67"/>
      <c r="G40" s="3"/>
      <c r="H40" s="68"/>
      <c r="I40" s="68"/>
      <c r="J40" s="68"/>
      <c r="K40" s="68"/>
    </row>
    <row r="41" ht="13.5" customHeight="1" spans="1:11">
      <c r="A41" s="3"/>
      <c r="B41" s="66"/>
      <c r="C41" s="66"/>
      <c r="D41" s="66"/>
      <c r="E41" s="66"/>
      <c r="G41" s="3"/>
      <c r="H41" s="68"/>
      <c r="I41" s="68"/>
      <c r="J41" s="68"/>
      <c r="K41" s="68"/>
    </row>
    <row r="42" ht="13.5" customHeight="1" spans="1:11">
      <c r="A42" s="3"/>
      <c r="B42" s="66"/>
      <c r="C42" s="66"/>
      <c r="D42" s="66"/>
      <c r="E42" s="66"/>
      <c r="G42" s="3"/>
      <c r="H42" s="68"/>
      <c r="I42" s="68"/>
      <c r="J42" s="68"/>
      <c r="K42" s="68"/>
    </row>
    <row r="43" ht="13.5" customHeight="1" spans="1:11">
      <c r="A43" s="3"/>
      <c r="B43" s="66"/>
      <c r="C43" s="66"/>
      <c r="D43" s="66"/>
      <c r="E43" s="66"/>
      <c r="G43" s="3"/>
      <c r="H43" s="68"/>
      <c r="I43" s="68"/>
      <c r="J43" s="68"/>
      <c r="K43" s="68"/>
    </row>
    <row r="44" ht="13.5" customHeight="1" spans="1:11">
      <c r="A44" s="3"/>
      <c r="B44" s="66"/>
      <c r="C44" s="66"/>
      <c r="D44" s="66"/>
      <c r="E44" s="66"/>
      <c r="G44" s="3"/>
      <c r="H44" s="68"/>
      <c r="I44" s="68"/>
      <c r="J44" s="68"/>
      <c r="K44" s="68"/>
    </row>
    <row r="45" ht="13.5" customHeight="1" spans="1:11">
      <c r="A45" s="3"/>
      <c r="B45" s="66"/>
      <c r="C45" s="66"/>
      <c r="D45" s="66"/>
      <c r="E45" s="66"/>
      <c r="G45" s="3"/>
      <c r="H45" s="68"/>
      <c r="I45" s="68"/>
      <c r="J45" s="68"/>
      <c r="K45" s="68"/>
    </row>
    <row r="46" ht="13.5" customHeight="1" spans="1:11">
      <c r="A46" s="3"/>
      <c r="B46" s="66"/>
      <c r="C46" s="66"/>
      <c r="D46" s="66"/>
      <c r="E46" s="66"/>
      <c r="G46" s="3"/>
      <c r="H46" s="68"/>
      <c r="I46" s="68"/>
      <c r="J46" s="68"/>
      <c r="K46" s="68"/>
    </row>
    <row r="47" ht="13.5" customHeight="1" spans="1:11">
      <c r="A47" s="3"/>
      <c r="B47" s="66"/>
      <c r="C47" s="66"/>
      <c r="D47" s="66"/>
      <c r="E47" s="66"/>
      <c r="G47" s="3"/>
      <c r="H47" s="68"/>
      <c r="I47" s="68"/>
      <c r="J47" s="68"/>
      <c r="K47" s="68"/>
    </row>
    <row r="48" ht="13.5" customHeight="1" spans="1:11">
      <c r="A48" s="3"/>
      <c r="B48" s="66"/>
      <c r="C48" s="66"/>
      <c r="D48" s="66"/>
      <c r="E48" s="66"/>
      <c r="G48" s="3"/>
      <c r="H48" s="68"/>
      <c r="I48" s="68"/>
      <c r="J48" s="68"/>
      <c r="K48" s="68"/>
    </row>
    <row r="49" ht="13.5" customHeight="1" spans="1:11">
      <c r="A49" s="3"/>
      <c r="B49" s="66"/>
      <c r="C49" s="66"/>
      <c r="D49" s="66"/>
      <c r="E49" s="66"/>
      <c r="G49" s="3"/>
      <c r="H49" s="68"/>
      <c r="I49" s="68"/>
      <c r="J49" s="68"/>
      <c r="K49" s="68"/>
    </row>
    <row r="50" ht="13.5" customHeight="1" spans="1:11">
      <c r="A50" s="3"/>
      <c r="B50" s="66"/>
      <c r="C50" s="66"/>
      <c r="D50" s="66"/>
      <c r="E50" s="66"/>
      <c r="G50" s="3"/>
      <c r="H50" s="68"/>
      <c r="I50" s="68"/>
      <c r="J50" s="68"/>
      <c r="K50" s="68"/>
    </row>
    <row r="51" ht="13.5" customHeight="1" spans="1:11">
      <c r="A51" s="3"/>
      <c r="B51" s="66"/>
      <c r="C51" s="66"/>
      <c r="D51" s="66"/>
      <c r="E51" s="66"/>
      <c r="G51" s="3"/>
      <c r="H51" s="68"/>
      <c r="I51" s="68"/>
      <c r="J51" s="68"/>
      <c r="K51" s="68"/>
    </row>
    <row r="52" ht="13.5" customHeight="1" spans="1:11">
      <c r="A52" s="3"/>
      <c r="B52" s="66"/>
      <c r="C52" s="66"/>
      <c r="D52" s="66"/>
      <c r="E52" s="66"/>
      <c r="G52" s="3"/>
      <c r="H52" s="68"/>
      <c r="I52" s="68"/>
      <c r="J52" s="68"/>
      <c r="K52" s="68"/>
    </row>
    <row r="53" ht="13.5" customHeight="1" spans="1:11">
      <c r="A53" s="3"/>
      <c r="B53" s="66"/>
      <c r="C53" s="66"/>
      <c r="D53" s="66"/>
      <c r="E53" s="66"/>
      <c r="G53" s="3"/>
      <c r="H53" s="68"/>
      <c r="I53" s="68"/>
      <c r="J53" s="68"/>
      <c r="K53" s="68"/>
    </row>
    <row r="54" ht="13.5" customHeight="1" spans="1:11">
      <c r="A54" s="3"/>
      <c r="B54" s="66"/>
      <c r="C54" s="66"/>
      <c r="D54" s="66"/>
      <c r="E54" s="66"/>
      <c r="G54" s="3"/>
      <c r="H54" s="68"/>
      <c r="I54" s="68"/>
      <c r="J54" s="68"/>
      <c r="K54" s="68"/>
    </row>
    <row r="55" ht="13.5" customHeight="1" spans="1:11">
      <c r="A55" s="3"/>
      <c r="B55" s="66"/>
      <c r="C55" s="66"/>
      <c r="D55" s="66"/>
      <c r="E55" s="66"/>
      <c r="G55" s="3"/>
      <c r="H55" s="68"/>
      <c r="I55" s="68"/>
      <c r="J55" s="68"/>
      <c r="K55" s="68"/>
    </row>
    <row r="56" ht="13.5" customHeight="1" spans="1:11">
      <c r="A56" s="3"/>
      <c r="B56" s="66"/>
      <c r="C56" s="66"/>
      <c r="D56" s="66"/>
      <c r="E56" s="66"/>
      <c r="G56" s="3"/>
      <c r="H56" s="68"/>
      <c r="I56" s="68"/>
      <c r="J56" s="68"/>
      <c r="K56" s="68"/>
    </row>
    <row r="57" ht="13.5" customHeight="1" spans="1:11">
      <c r="A57" s="3"/>
      <c r="B57" s="66"/>
      <c r="C57" s="66"/>
      <c r="D57" s="66"/>
      <c r="E57" s="66"/>
      <c r="G57" s="3"/>
      <c r="H57" s="68"/>
      <c r="I57" s="68"/>
      <c r="J57" s="68"/>
      <c r="K57" s="68"/>
    </row>
    <row r="58" ht="13.5" customHeight="1" spans="1:11">
      <c r="A58" s="3"/>
      <c r="B58" s="66"/>
      <c r="C58" s="66"/>
      <c r="D58" s="66"/>
      <c r="E58" s="66"/>
      <c r="G58" s="3"/>
      <c r="H58" s="68"/>
      <c r="I58" s="68"/>
      <c r="J58" s="68"/>
      <c r="K58" s="68"/>
    </row>
    <row r="59" ht="13.5" customHeight="1" spans="1:11">
      <c r="A59" s="3"/>
      <c r="B59" s="66"/>
      <c r="C59" s="66"/>
      <c r="D59" s="66"/>
      <c r="E59" s="66"/>
      <c r="G59" s="3"/>
      <c r="H59" s="68"/>
      <c r="I59" s="68"/>
      <c r="J59" s="68"/>
      <c r="K59" s="68"/>
    </row>
    <row r="60" ht="13.5" customHeight="1" spans="1:11">
      <c r="A60" s="3"/>
      <c r="B60" s="66"/>
      <c r="C60" s="66"/>
      <c r="D60" s="66"/>
      <c r="E60" s="66"/>
      <c r="G60" s="3"/>
      <c r="H60" s="68"/>
      <c r="I60" s="68"/>
      <c r="J60" s="68"/>
      <c r="K60" s="68"/>
    </row>
    <row r="61" ht="13.5" customHeight="1" spans="1:11">
      <c r="A61" s="3"/>
      <c r="B61" s="66"/>
      <c r="C61" s="66"/>
      <c r="D61" s="66"/>
      <c r="E61" s="66"/>
      <c r="G61" s="3"/>
      <c r="H61" s="68"/>
      <c r="I61" s="68"/>
      <c r="J61" s="68"/>
      <c r="K61" s="68"/>
    </row>
    <row r="62" ht="13.5" customHeight="1" spans="1:11">
      <c r="A62" s="3"/>
      <c r="B62" s="66"/>
      <c r="C62" s="66"/>
      <c r="D62" s="66"/>
      <c r="E62" s="66"/>
      <c r="G62" s="3"/>
      <c r="H62" s="68"/>
      <c r="I62" s="68"/>
      <c r="J62" s="68"/>
      <c r="K62" s="68"/>
    </row>
    <row r="63" ht="13.5" customHeight="1" spans="1:11">
      <c r="A63" s="3"/>
      <c r="B63" s="66"/>
      <c r="C63" s="66"/>
      <c r="D63" s="66"/>
      <c r="E63" s="66"/>
      <c r="G63" s="3"/>
      <c r="H63" s="68"/>
      <c r="I63" s="68"/>
      <c r="J63" s="68"/>
      <c r="K63" s="68"/>
    </row>
    <row r="64" ht="13.5" customHeight="1" spans="1:11">
      <c r="A64" s="3"/>
      <c r="B64" s="66"/>
      <c r="C64" s="66"/>
      <c r="D64" s="66"/>
      <c r="E64" s="66"/>
      <c r="G64" s="3"/>
      <c r="H64" s="68"/>
      <c r="I64" s="68"/>
      <c r="J64" s="68"/>
      <c r="K64" s="68"/>
    </row>
    <row r="65" ht="13.5" customHeight="1" spans="1:11">
      <c r="A65" s="3"/>
      <c r="B65" s="66"/>
      <c r="C65" s="66"/>
      <c r="D65" s="66"/>
      <c r="E65" s="66"/>
      <c r="G65" s="3"/>
      <c r="H65" s="68"/>
      <c r="I65" s="68"/>
      <c r="J65" s="68"/>
      <c r="K65" s="68"/>
    </row>
    <row r="66" ht="13.5" customHeight="1" spans="1:11">
      <c r="A66" s="3"/>
      <c r="B66" s="66"/>
      <c r="C66" s="66"/>
      <c r="D66" s="66"/>
      <c r="E66" s="66"/>
      <c r="G66" s="3"/>
      <c r="H66" s="68"/>
      <c r="I66" s="68"/>
      <c r="J66" s="68"/>
      <c r="K66" s="68"/>
    </row>
    <row r="67" ht="13.5" customHeight="1" spans="1:11">
      <c r="A67" s="3"/>
      <c r="B67" s="66"/>
      <c r="C67" s="66"/>
      <c r="D67" s="66"/>
      <c r="E67" s="66"/>
      <c r="G67" s="3"/>
      <c r="H67" s="68"/>
      <c r="I67" s="68"/>
      <c r="J67" s="68"/>
      <c r="K67" s="68"/>
    </row>
    <row r="68" ht="13.5" customHeight="1" spans="1:11">
      <c r="A68" s="3"/>
      <c r="B68" s="66"/>
      <c r="C68" s="66"/>
      <c r="D68" s="66"/>
      <c r="E68" s="66"/>
      <c r="G68" s="3"/>
      <c r="H68" s="68"/>
      <c r="I68" s="68"/>
      <c r="J68" s="68"/>
      <c r="K68" s="68"/>
    </row>
    <row r="69" ht="13.5" customHeight="1" spans="1:11">
      <c r="A69" s="3"/>
      <c r="B69" s="66"/>
      <c r="C69" s="66"/>
      <c r="D69" s="66"/>
      <c r="E69" s="66"/>
      <c r="G69" s="3"/>
      <c r="H69" s="68"/>
      <c r="I69" s="68"/>
      <c r="J69" s="68"/>
      <c r="K69" s="68"/>
    </row>
    <row r="70" ht="13.5" customHeight="1" spans="1:11">
      <c r="A70" s="3"/>
      <c r="B70" s="66"/>
      <c r="C70" s="66"/>
      <c r="D70" s="66"/>
      <c r="E70" s="66"/>
      <c r="G70" s="3"/>
      <c r="H70" s="68"/>
      <c r="I70" s="68"/>
      <c r="J70" s="68"/>
      <c r="K70" s="68"/>
    </row>
    <row r="71" ht="13.5" customHeight="1" spans="1:11">
      <c r="A71" s="3"/>
      <c r="B71" s="66"/>
      <c r="C71" s="66"/>
      <c r="D71" s="66"/>
      <c r="E71" s="66"/>
      <c r="G71" s="3"/>
      <c r="H71" s="68"/>
      <c r="I71" s="68"/>
      <c r="J71" s="68"/>
      <c r="K71" s="68"/>
    </row>
    <row r="72" ht="13.5" customHeight="1" spans="1:11">
      <c r="A72" s="3"/>
      <c r="B72" s="66"/>
      <c r="C72" s="66"/>
      <c r="D72" s="66"/>
      <c r="E72" s="66"/>
      <c r="G72" s="3"/>
      <c r="H72" s="68"/>
      <c r="I72" s="68"/>
      <c r="J72" s="68"/>
      <c r="K72" s="68"/>
    </row>
    <row r="73" ht="13.5" customHeight="1" spans="1:11">
      <c r="A73" s="3"/>
      <c r="B73" s="66"/>
      <c r="C73" s="66"/>
      <c r="D73" s="66"/>
      <c r="E73" s="66"/>
      <c r="G73" s="3"/>
      <c r="H73" s="68"/>
      <c r="I73" s="68"/>
      <c r="J73" s="68"/>
      <c r="K73" s="68"/>
    </row>
    <row r="74" ht="13.5" customHeight="1" spans="1:11">
      <c r="A74" s="3"/>
      <c r="B74" s="66"/>
      <c r="C74" s="66"/>
      <c r="D74" s="66"/>
      <c r="E74" s="66"/>
      <c r="G74" s="3"/>
      <c r="H74" s="68"/>
      <c r="I74" s="68"/>
      <c r="J74" s="68"/>
      <c r="K74" s="68"/>
    </row>
    <row r="75" ht="13.5" customHeight="1" spans="1:11">
      <c r="A75" s="3"/>
      <c r="B75" s="66"/>
      <c r="C75" s="66"/>
      <c r="D75" s="66"/>
      <c r="E75" s="66"/>
      <c r="G75" s="3"/>
      <c r="H75" s="68"/>
      <c r="I75" s="68"/>
      <c r="J75" s="68"/>
      <c r="K75" s="68"/>
    </row>
    <row r="76" ht="13.5" customHeight="1" spans="1:11">
      <c r="A76" s="3"/>
      <c r="B76" s="66"/>
      <c r="C76" s="66"/>
      <c r="D76" s="66"/>
      <c r="E76" s="66"/>
      <c r="G76" s="3"/>
      <c r="H76" s="68"/>
      <c r="I76" s="68"/>
      <c r="J76" s="68"/>
      <c r="K76" s="68"/>
    </row>
    <row r="77" ht="13.5" customHeight="1" spans="1:11">
      <c r="A77" s="3"/>
      <c r="B77" s="66"/>
      <c r="C77" s="66"/>
      <c r="D77" s="66"/>
      <c r="E77" s="66"/>
      <c r="G77" s="3"/>
      <c r="H77" s="68"/>
      <c r="I77" s="68"/>
      <c r="J77" s="68"/>
      <c r="K77" s="68"/>
    </row>
    <row r="78" ht="13.5" customHeight="1" spans="1:11">
      <c r="A78" s="3"/>
      <c r="B78" s="66"/>
      <c r="C78" s="66"/>
      <c r="D78" s="66"/>
      <c r="E78" s="66"/>
      <c r="G78" s="3"/>
      <c r="H78" s="68"/>
      <c r="I78" s="68"/>
      <c r="J78" s="68"/>
      <c r="K78" s="68"/>
    </row>
    <row r="79" ht="13.5" customHeight="1" spans="1:11">
      <c r="A79" s="3"/>
      <c r="B79" s="66"/>
      <c r="C79" s="66"/>
      <c r="D79" s="66"/>
      <c r="E79" s="66"/>
      <c r="G79" s="3"/>
      <c r="H79" s="68"/>
      <c r="I79" s="68"/>
      <c r="J79" s="68"/>
      <c r="K79" s="68"/>
    </row>
    <row r="80" ht="13.5" customHeight="1" spans="1:11">
      <c r="A80" s="3"/>
      <c r="B80" s="66"/>
      <c r="C80" s="66"/>
      <c r="D80" s="66"/>
      <c r="E80" s="66"/>
      <c r="G80" s="3"/>
      <c r="H80" s="68"/>
      <c r="I80" s="68"/>
      <c r="J80" s="68"/>
      <c r="K80" s="68"/>
    </row>
    <row r="81" ht="13.5" customHeight="1" spans="1:11">
      <c r="A81" s="3"/>
      <c r="B81" s="66"/>
      <c r="C81" s="66"/>
      <c r="D81" s="66"/>
      <c r="E81" s="66"/>
      <c r="G81" s="3"/>
      <c r="H81" s="68"/>
      <c r="I81" s="68"/>
      <c r="J81" s="68"/>
      <c r="K81" s="68"/>
    </row>
    <row r="82" ht="13.5" customHeight="1" spans="1:11">
      <c r="A82" s="3"/>
      <c r="B82" s="66"/>
      <c r="C82" s="66"/>
      <c r="D82" s="66"/>
      <c r="E82" s="66"/>
      <c r="G82" s="3"/>
      <c r="H82" s="68"/>
      <c r="I82" s="68"/>
      <c r="J82" s="68"/>
      <c r="K82" s="68"/>
    </row>
    <row r="83" ht="13.5" customHeight="1" spans="1:11">
      <c r="A83" s="3"/>
      <c r="B83" s="66"/>
      <c r="C83" s="66"/>
      <c r="D83" s="66"/>
      <c r="E83" s="66"/>
      <c r="G83" s="3"/>
      <c r="H83" s="68"/>
      <c r="I83" s="68"/>
      <c r="J83" s="68"/>
      <c r="K83" s="68"/>
    </row>
    <row r="84" ht="13.5" customHeight="1" spans="1:11">
      <c r="A84" s="3"/>
      <c r="B84" s="66"/>
      <c r="C84" s="66"/>
      <c r="D84" s="66"/>
      <c r="E84" s="66"/>
      <c r="G84" s="3"/>
      <c r="H84" s="68"/>
      <c r="I84" s="68"/>
      <c r="J84" s="68"/>
      <c r="K84" s="68"/>
    </row>
    <row r="85" ht="13.5" customHeight="1" spans="1:11">
      <c r="A85" s="3"/>
      <c r="B85" s="66"/>
      <c r="C85" s="66"/>
      <c r="D85" s="66"/>
      <c r="E85" s="66"/>
      <c r="G85" s="3"/>
      <c r="H85" s="68"/>
      <c r="I85" s="68"/>
      <c r="J85" s="68"/>
      <c r="K85" s="68"/>
    </row>
    <row r="86" ht="13.5" customHeight="1" spans="1:11">
      <c r="A86" s="3"/>
      <c r="B86" s="66"/>
      <c r="C86" s="66"/>
      <c r="D86" s="66"/>
      <c r="E86" s="66"/>
      <c r="G86" s="3"/>
      <c r="H86" s="68"/>
      <c r="I86" s="68"/>
      <c r="J86" s="68"/>
      <c r="K86" s="68"/>
    </row>
    <row r="87" ht="13.5" customHeight="1" spans="1:11">
      <c r="A87" s="3"/>
      <c r="B87" s="66"/>
      <c r="C87" s="66"/>
      <c r="D87" s="66"/>
      <c r="E87" s="66"/>
      <c r="G87" s="3"/>
      <c r="H87" s="68"/>
      <c r="I87" s="68"/>
      <c r="J87" s="68"/>
      <c r="K87" s="68"/>
    </row>
    <row r="88" ht="13.5" customHeight="1" spans="1:11">
      <c r="A88" s="3"/>
      <c r="B88" s="66"/>
      <c r="C88" s="66"/>
      <c r="D88" s="66"/>
      <c r="E88" s="66"/>
      <c r="G88" s="3"/>
      <c r="H88" s="68"/>
      <c r="I88" s="68"/>
      <c r="J88" s="68"/>
      <c r="K88" s="68"/>
    </row>
    <row r="89" ht="13.5" customHeight="1" spans="1:11">
      <c r="A89" s="3"/>
      <c r="B89" s="66"/>
      <c r="C89" s="66"/>
      <c r="D89" s="66"/>
      <c r="E89" s="66"/>
      <c r="G89" s="3"/>
      <c r="H89" s="68"/>
      <c r="I89" s="68"/>
      <c r="J89" s="68"/>
      <c r="K89" s="68"/>
    </row>
    <row r="90" ht="13.5" customHeight="1" spans="1:11">
      <c r="A90" s="3"/>
      <c r="B90" s="66"/>
      <c r="C90" s="66"/>
      <c r="D90" s="66"/>
      <c r="E90" s="66"/>
      <c r="G90" s="3"/>
      <c r="H90" s="68"/>
      <c r="I90" s="68"/>
      <c r="J90" s="68"/>
      <c r="K90" s="68"/>
    </row>
    <row r="91" ht="13.5" customHeight="1" spans="1:11">
      <c r="A91" s="3"/>
      <c r="B91" s="66"/>
      <c r="C91" s="66"/>
      <c r="D91" s="66"/>
      <c r="E91" s="66"/>
      <c r="G91" s="3"/>
      <c r="H91" s="68"/>
      <c r="I91" s="68"/>
      <c r="J91" s="68"/>
      <c r="K91" s="68"/>
    </row>
    <row r="92" ht="13.5" customHeight="1" spans="1:11">
      <c r="A92" s="3"/>
      <c r="B92" s="66"/>
      <c r="C92" s="66"/>
      <c r="D92" s="66"/>
      <c r="E92" s="66"/>
      <c r="G92" s="3"/>
      <c r="H92" s="68"/>
      <c r="I92" s="68"/>
      <c r="J92" s="68"/>
      <c r="K92" s="68"/>
    </row>
    <row r="93" ht="13.5" customHeight="1" spans="1:11">
      <c r="A93" s="3"/>
      <c r="B93" s="66"/>
      <c r="C93" s="66"/>
      <c r="D93" s="66"/>
      <c r="E93" s="66"/>
      <c r="G93" s="3"/>
      <c r="H93" s="68"/>
      <c r="I93" s="68"/>
      <c r="J93" s="68"/>
      <c r="K93" s="68"/>
    </row>
    <row r="94" ht="13.5" customHeight="1" spans="1:11">
      <c r="A94" s="3"/>
      <c r="B94" s="66"/>
      <c r="C94" s="66"/>
      <c r="D94" s="66"/>
      <c r="E94" s="66"/>
      <c r="G94" s="3"/>
      <c r="H94" s="68"/>
      <c r="I94" s="68"/>
      <c r="J94" s="68"/>
      <c r="K94" s="68"/>
    </row>
    <row r="95" ht="13.5" customHeight="1" spans="1:11">
      <c r="A95" s="3"/>
      <c r="B95" s="66"/>
      <c r="C95" s="66"/>
      <c r="D95" s="66"/>
      <c r="E95" s="66"/>
      <c r="G95" s="3"/>
      <c r="H95" s="68"/>
      <c r="I95" s="68"/>
      <c r="J95" s="68"/>
      <c r="K95" s="68"/>
    </row>
    <row r="96" ht="13.5" customHeight="1" spans="1:11">
      <c r="A96" s="3"/>
      <c r="B96" s="66"/>
      <c r="C96" s="66"/>
      <c r="D96" s="66"/>
      <c r="E96" s="66"/>
      <c r="G96" s="3"/>
      <c r="H96" s="68"/>
      <c r="I96" s="68"/>
      <c r="J96" s="68"/>
      <c r="K96" s="68"/>
    </row>
    <row r="97" ht="13.5" customHeight="1" spans="1:11">
      <c r="A97" s="3"/>
      <c r="B97" s="66"/>
      <c r="C97" s="66"/>
      <c r="D97" s="66"/>
      <c r="E97" s="66"/>
      <c r="G97" s="3"/>
      <c r="H97" s="68"/>
      <c r="I97" s="68"/>
      <c r="J97" s="68"/>
      <c r="K97" s="68"/>
    </row>
    <row r="98" ht="13.5" customHeight="1" spans="1:11">
      <c r="A98" s="3"/>
      <c r="B98" s="66"/>
      <c r="C98" s="66"/>
      <c r="D98" s="66"/>
      <c r="E98" s="66"/>
      <c r="G98" s="3"/>
      <c r="H98" s="68"/>
      <c r="I98" s="68"/>
      <c r="J98" s="68"/>
      <c r="K98" s="68"/>
    </row>
    <row r="99" ht="13.5" customHeight="1" spans="1:11">
      <c r="A99" s="3"/>
      <c r="B99" s="66"/>
      <c r="C99" s="66"/>
      <c r="D99" s="66"/>
      <c r="E99" s="66"/>
      <c r="G99" s="3"/>
      <c r="H99" s="68"/>
      <c r="I99" s="68"/>
      <c r="J99" s="68"/>
      <c r="K99" s="68"/>
    </row>
    <row r="100" ht="13.5" customHeight="1" spans="1:11">
      <c r="A100" s="3"/>
      <c r="B100" s="66"/>
      <c r="C100" s="66"/>
      <c r="D100" s="66"/>
      <c r="E100" s="66"/>
      <c r="G100" s="3"/>
      <c r="H100" s="68"/>
      <c r="I100" s="68"/>
      <c r="J100" s="68"/>
      <c r="K100" s="68"/>
    </row>
    <row r="101" ht="13.5" customHeight="1" spans="1:11">
      <c r="A101" s="3"/>
      <c r="B101" s="66"/>
      <c r="C101" s="66"/>
      <c r="D101" s="66"/>
      <c r="E101" s="66"/>
      <c r="G101" s="3"/>
      <c r="H101" s="68"/>
      <c r="I101" s="68"/>
      <c r="J101" s="68"/>
      <c r="K101" s="68"/>
    </row>
    <row r="102" ht="13.5" customHeight="1" spans="1:11">
      <c r="A102" s="3"/>
      <c r="B102" s="66"/>
      <c r="C102" s="66"/>
      <c r="D102" s="66"/>
      <c r="E102" s="66"/>
      <c r="G102" s="3"/>
      <c r="H102" s="68"/>
      <c r="I102" s="68"/>
      <c r="J102" s="68"/>
      <c r="K102" s="68"/>
    </row>
    <row r="103" ht="13.5" customHeight="1" spans="1:11">
      <c r="A103" s="3"/>
      <c r="B103" s="66"/>
      <c r="C103" s="66"/>
      <c r="D103" s="66"/>
      <c r="E103" s="66"/>
      <c r="G103" s="3"/>
      <c r="H103" s="68"/>
      <c r="I103" s="68"/>
      <c r="J103" s="68"/>
      <c r="K103" s="68"/>
    </row>
    <row r="104" ht="13.5" customHeight="1" spans="1:11">
      <c r="A104" s="3"/>
      <c r="B104" s="66"/>
      <c r="C104" s="66"/>
      <c r="D104" s="66"/>
      <c r="E104" s="66"/>
      <c r="G104" s="3"/>
      <c r="H104" s="68"/>
      <c r="I104" s="68"/>
      <c r="J104" s="68"/>
      <c r="K104" s="68"/>
    </row>
    <row r="105" ht="13.5" customHeight="1" spans="1:11">
      <c r="A105" s="3"/>
      <c r="B105" s="66"/>
      <c r="C105" s="66"/>
      <c r="D105" s="66"/>
      <c r="E105" s="66"/>
      <c r="G105" s="3"/>
      <c r="H105" s="68"/>
      <c r="I105" s="68"/>
      <c r="J105" s="68"/>
      <c r="K105" s="68"/>
    </row>
    <row r="106" ht="13.5" customHeight="1" spans="1:11">
      <c r="A106" s="3"/>
      <c r="B106" s="66"/>
      <c r="C106" s="66"/>
      <c r="D106" s="66"/>
      <c r="E106" s="66"/>
      <c r="G106" s="3"/>
      <c r="H106" s="68"/>
      <c r="I106" s="68"/>
      <c r="J106" s="68"/>
      <c r="K106" s="68"/>
    </row>
    <row r="107" ht="13.5" customHeight="1" spans="1:11">
      <c r="A107" s="3"/>
      <c r="B107" s="66"/>
      <c r="C107" s="66"/>
      <c r="D107" s="66"/>
      <c r="E107" s="66"/>
      <c r="G107" s="3"/>
      <c r="H107" s="68"/>
      <c r="I107" s="68"/>
      <c r="J107" s="68"/>
      <c r="K107" s="68"/>
    </row>
    <row r="108" ht="13.5" customHeight="1" spans="1:11">
      <c r="A108" s="3"/>
      <c r="B108" s="66"/>
      <c r="C108" s="66"/>
      <c r="D108" s="66"/>
      <c r="E108" s="66"/>
      <c r="G108" s="3"/>
      <c r="H108" s="68"/>
      <c r="I108" s="68"/>
      <c r="J108" s="68"/>
      <c r="K108" s="68"/>
    </row>
    <row r="109" ht="13.5" customHeight="1" spans="1:11">
      <c r="A109" s="3"/>
      <c r="B109" s="66"/>
      <c r="C109" s="66"/>
      <c r="D109" s="66"/>
      <c r="E109" s="66"/>
      <c r="G109" s="3"/>
      <c r="H109" s="68"/>
      <c r="I109" s="68"/>
      <c r="J109" s="68"/>
      <c r="K109" s="68"/>
    </row>
    <row r="110" ht="13.5" customHeight="1" spans="1:11">
      <c r="A110" s="3"/>
      <c r="B110" s="66"/>
      <c r="C110" s="66"/>
      <c r="D110" s="66"/>
      <c r="E110" s="66"/>
      <c r="G110" s="3"/>
      <c r="H110" s="68"/>
      <c r="I110" s="68"/>
      <c r="J110" s="68"/>
      <c r="K110" s="68"/>
    </row>
    <row r="111" ht="13.5" customHeight="1" spans="1:11">
      <c r="A111" s="3"/>
      <c r="B111" s="66"/>
      <c r="C111" s="66"/>
      <c r="D111" s="66"/>
      <c r="E111" s="66"/>
      <c r="G111" s="3"/>
      <c r="H111" s="68"/>
      <c r="I111" s="68"/>
      <c r="J111" s="68"/>
      <c r="K111" s="68"/>
    </row>
    <row r="112" ht="13.5" customHeight="1" spans="1:11">
      <c r="A112" s="3"/>
      <c r="B112" s="66"/>
      <c r="C112" s="66"/>
      <c r="D112" s="66"/>
      <c r="E112" s="66"/>
      <c r="G112" s="3"/>
      <c r="H112" s="68"/>
      <c r="I112" s="68"/>
      <c r="J112" s="68"/>
      <c r="K112" s="68"/>
    </row>
    <row r="113" ht="13.5" customHeight="1" spans="1:11">
      <c r="A113" s="3"/>
      <c r="B113" s="66"/>
      <c r="C113" s="66"/>
      <c r="D113" s="66"/>
      <c r="E113" s="66"/>
      <c r="G113" s="3"/>
      <c r="H113" s="68"/>
      <c r="I113" s="68"/>
      <c r="J113" s="68"/>
      <c r="K113" s="68"/>
    </row>
    <row r="114" ht="13.5" customHeight="1" spans="1:11">
      <c r="A114" s="3"/>
      <c r="B114" s="66"/>
      <c r="C114" s="66"/>
      <c r="D114" s="66"/>
      <c r="E114" s="66"/>
      <c r="G114" s="3"/>
      <c r="H114" s="68"/>
      <c r="I114" s="68"/>
      <c r="J114" s="68"/>
      <c r="K114" s="68"/>
    </row>
    <row r="115" ht="13.5" customHeight="1" spans="1:11">
      <c r="A115" s="3"/>
      <c r="B115" s="66"/>
      <c r="C115" s="66"/>
      <c r="D115" s="66"/>
      <c r="E115" s="66"/>
      <c r="G115" s="3"/>
      <c r="H115" s="68"/>
      <c r="I115" s="68"/>
      <c r="J115" s="68"/>
      <c r="K115" s="68"/>
    </row>
    <row r="116" ht="13.5" customHeight="1" spans="1:11">
      <c r="A116" s="3"/>
      <c r="B116" s="66"/>
      <c r="C116" s="66"/>
      <c r="D116" s="66"/>
      <c r="E116" s="66"/>
      <c r="G116" s="3"/>
      <c r="H116" s="68"/>
      <c r="I116" s="68"/>
      <c r="J116" s="68"/>
      <c r="K116" s="68"/>
    </row>
    <row r="117" ht="13.5" customHeight="1" spans="1:11">
      <c r="A117" s="3"/>
      <c r="B117" s="66"/>
      <c r="C117" s="66"/>
      <c r="D117" s="66"/>
      <c r="E117" s="66"/>
      <c r="G117" s="3"/>
      <c r="H117" s="68"/>
      <c r="I117" s="68"/>
      <c r="J117" s="68"/>
      <c r="K117" s="68"/>
    </row>
    <row r="118" ht="13.5" customHeight="1" spans="1:11">
      <c r="A118" s="3"/>
      <c r="B118" s="66"/>
      <c r="C118" s="66"/>
      <c r="D118" s="66"/>
      <c r="E118" s="66"/>
      <c r="G118" s="3"/>
      <c r="H118" s="68"/>
      <c r="I118" s="68"/>
      <c r="J118" s="68"/>
      <c r="K118" s="68"/>
    </row>
    <row r="119" ht="13.5" customHeight="1" spans="1:11">
      <c r="A119" s="3"/>
      <c r="B119" s="66"/>
      <c r="C119" s="66"/>
      <c r="D119" s="66"/>
      <c r="E119" s="66"/>
      <c r="G119" s="3"/>
      <c r="H119" s="68"/>
      <c r="I119" s="68"/>
      <c r="J119" s="68"/>
      <c r="K119" s="68"/>
    </row>
    <row r="120" ht="13.5" customHeight="1" spans="1:11">
      <c r="A120" s="3"/>
      <c r="B120" s="66"/>
      <c r="C120" s="66"/>
      <c r="D120" s="66"/>
      <c r="E120" s="66"/>
      <c r="G120" s="3"/>
      <c r="H120" s="68"/>
      <c r="I120" s="68"/>
      <c r="J120" s="68"/>
      <c r="K120" s="68"/>
    </row>
    <row r="121" ht="13.5" customHeight="1" spans="1:11">
      <c r="A121" s="3"/>
      <c r="B121" s="66"/>
      <c r="C121" s="66"/>
      <c r="D121" s="66"/>
      <c r="E121" s="66"/>
      <c r="G121" s="3"/>
      <c r="H121" s="68"/>
      <c r="I121" s="68"/>
      <c r="J121" s="68"/>
      <c r="K121" s="68"/>
    </row>
    <row r="122" ht="13.5" customHeight="1" spans="1:11">
      <c r="A122" s="3"/>
      <c r="B122" s="66"/>
      <c r="C122" s="66"/>
      <c r="D122" s="66"/>
      <c r="E122" s="66"/>
      <c r="G122" s="3"/>
      <c r="H122" s="68"/>
      <c r="I122" s="68"/>
      <c r="J122" s="68"/>
      <c r="K122" s="68"/>
    </row>
    <row r="123" ht="13.5" customHeight="1" spans="1:11">
      <c r="A123" s="3"/>
      <c r="B123" s="66"/>
      <c r="C123" s="66"/>
      <c r="D123" s="66"/>
      <c r="E123" s="66"/>
      <c r="G123" s="3"/>
      <c r="H123" s="68"/>
      <c r="I123" s="68"/>
      <c r="J123" s="68"/>
      <c r="K123" s="68"/>
    </row>
    <row r="124" ht="13.5" customHeight="1" spans="1:11">
      <c r="A124" s="3"/>
      <c r="B124" s="66"/>
      <c r="C124" s="66"/>
      <c r="D124" s="66"/>
      <c r="E124" s="66"/>
      <c r="G124" s="3"/>
      <c r="H124" s="68"/>
      <c r="I124" s="68"/>
      <c r="J124" s="68"/>
      <c r="K124" s="68"/>
    </row>
    <row r="125" ht="13.5" customHeight="1" spans="1:11">
      <c r="A125" s="3"/>
      <c r="B125" s="66"/>
      <c r="C125" s="66"/>
      <c r="D125" s="66"/>
      <c r="E125" s="66"/>
      <c r="G125" s="3"/>
      <c r="H125" s="68"/>
      <c r="I125" s="68"/>
      <c r="J125" s="68"/>
      <c r="K125" s="68"/>
    </row>
    <row r="126" ht="13.5" customHeight="1" spans="1:11">
      <c r="A126" s="3"/>
      <c r="B126" s="66"/>
      <c r="C126" s="66"/>
      <c r="D126" s="66"/>
      <c r="E126" s="66"/>
      <c r="G126" s="3"/>
      <c r="H126" s="68"/>
      <c r="I126" s="68"/>
      <c r="J126" s="68"/>
      <c r="K126" s="68"/>
    </row>
    <row r="127" ht="13.5" customHeight="1" spans="1:11">
      <c r="A127" s="3"/>
      <c r="B127" s="66"/>
      <c r="C127" s="66"/>
      <c r="D127" s="66"/>
      <c r="E127" s="66"/>
      <c r="G127" s="3"/>
      <c r="H127" s="68"/>
      <c r="I127" s="68"/>
      <c r="J127" s="68"/>
      <c r="K127" s="68"/>
    </row>
    <row r="128" ht="13.5" customHeight="1" spans="1:11">
      <c r="A128" s="3"/>
      <c r="B128" s="66"/>
      <c r="C128" s="66"/>
      <c r="D128" s="66"/>
      <c r="E128" s="66"/>
      <c r="G128" s="3"/>
      <c r="H128" s="68"/>
      <c r="I128" s="68"/>
      <c r="J128" s="68"/>
      <c r="K128" s="68"/>
    </row>
    <row r="129" ht="13.5" customHeight="1" spans="1:11">
      <c r="A129" s="3"/>
      <c r="B129" s="66"/>
      <c r="C129" s="66"/>
      <c r="D129" s="66"/>
      <c r="E129" s="66"/>
      <c r="G129" s="3"/>
      <c r="H129" s="68"/>
      <c r="I129" s="68"/>
      <c r="J129" s="68"/>
      <c r="K129" s="68"/>
    </row>
    <row r="130" ht="13.5" customHeight="1" spans="1:11">
      <c r="A130" s="3"/>
      <c r="B130" s="66"/>
      <c r="C130" s="66"/>
      <c r="D130" s="66"/>
      <c r="E130" s="66"/>
      <c r="G130" s="3"/>
      <c r="H130" s="68"/>
      <c r="I130" s="68"/>
      <c r="J130" s="68"/>
      <c r="K130" s="68"/>
    </row>
    <row r="131" ht="13.5" customHeight="1" spans="1:11">
      <c r="A131" s="3"/>
      <c r="B131" s="66"/>
      <c r="C131" s="66"/>
      <c r="D131" s="66"/>
      <c r="E131" s="66"/>
      <c r="G131" s="3"/>
      <c r="H131" s="68"/>
      <c r="I131" s="68"/>
      <c r="J131" s="68"/>
      <c r="K131" s="68"/>
    </row>
    <row r="132" ht="13.5" customHeight="1" spans="1:11">
      <c r="A132" s="3"/>
      <c r="B132" s="66"/>
      <c r="C132" s="66"/>
      <c r="D132" s="66"/>
      <c r="E132" s="66"/>
      <c r="G132" s="3"/>
      <c r="H132" s="68"/>
      <c r="I132" s="68"/>
      <c r="J132" s="68"/>
      <c r="K132" s="68"/>
    </row>
    <row r="133" ht="13.5" customHeight="1" spans="1:11">
      <c r="A133" s="3"/>
      <c r="B133" s="66"/>
      <c r="C133" s="66"/>
      <c r="D133" s="66"/>
      <c r="E133" s="66"/>
      <c r="G133" s="3"/>
      <c r="H133" s="68"/>
      <c r="I133" s="68"/>
      <c r="J133" s="68"/>
      <c r="K133" s="68"/>
    </row>
    <row r="134" ht="13.5" customHeight="1" spans="1:11">
      <c r="A134" s="3"/>
      <c r="B134" s="66"/>
      <c r="C134" s="66"/>
      <c r="D134" s="66"/>
      <c r="E134" s="66"/>
      <c r="G134" s="3"/>
      <c r="H134" s="68"/>
      <c r="I134" s="68"/>
      <c r="J134" s="68"/>
      <c r="K134" s="68"/>
    </row>
    <row r="135" ht="13.5" customHeight="1" spans="1:11">
      <c r="A135" s="3"/>
      <c r="B135" s="66"/>
      <c r="C135" s="66"/>
      <c r="D135" s="66"/>
      <c r="E135" s="66"/>
      <c r="G135" s="3"/>
      <c r="H135" s="68"/>
      <c r="I135" s="68"/>
      <c r="J135" s="68"/>
      <c r="K135" s="68"/>
    </row>
    <row r="136" ht="13.5" customHeight="1" spans="1:11">
      <c r="A136" s="3"/>
      <c r="B136" s="66"/>
      <c r="C136" s="66"/>
      <c r="D136" s="66"/>
      <c r="E136" s="66"/>
      <c r="G136" s="3"/>
      <c r="H136" s="68"/>
      <c r="I136" s="68"/>
      <c r="J136" s="68"/>
      <c r="K136" s="68"/>
    </row>
    <row r="137" ht="13.5" customHeight="1" spans="1:11">
      <c r="A137" s="3"/>
      <c r="B137" s="66"/>
      <c r="C137" s="66"/>
      <c r="D137" s="66"/>
      <c r="E137" s="66"/>
      <c r="G137" s="3"/>
      <c r="H137" s="68"/>
      <c r="I137" s="68"/>
      <c r="J137" s="68"/>
      <c r="K137" s="68"/>
    </row>
    <row r="138" ht="13.5" customHeight="1" spans="1:11">
      <c r="A138" s="3"/>
      <c r="B138" s="66"/>
      <c r="C138" s="66"/>
      <c r="D138" s="66"/>
      <c r="E138" s="66"/>
      <c r="G138" s="3"/>
      <c r="H138" s="68"/>
      <c r="I138" s="68"/>
      <c r="J138" s="68"/>
      <c r="K138" s="68"/>
    </row>
    <row r="139" ht="13.5" customHeight="1" spans="1:11">
      <c r="A139" s="3"/>
      <c r="B139" s="66"/>
      <c r="C139" s="66"/>
      <c r="D139" s="66"/>
      <c r="E139" s="66"/>
      <c r="G139" s="3"/>
      <c r="H139" s="68"/>
      <c r="I139" s="68"/>
      <c r="J139" s="68"/>
      <c r="K139" s="68"/>
    </row>
    <row r="140" ht="13.5" customHeight="1" spans="1:11">
      <c r="A140" s="3"/>
      <c r="B140" s="66"/>
      <c r="C140" s="66"/>
      <c r="D140" s="66"/>
      <c r="E140" s="66"/>
      <c r="G140" s="3"/>
      <c r="H140" s="68"/>
      <c r="I140" s="68"/>
      <c r="J140" s="68"/>
      <c r="K140" s="68"/>
    </row>
    <row r="141" ht="13.5" customHeight="1" spans="1:11">
      <c r="A141" s="3"/>
      <c r="B141" s="66"/>
      <c r="C141" s="66"/>
      <c r="D141" s="66"/>
      <c r="E141" s="66"/>
      <c r="G141" s="3"/>
      <c r="H141" s="68"/>
      <c r="I141" s="68"/>
      <c r="J141" s="68"/>
      <c r="K141" s="68"/>
    </row>
    <row r="142" ht="13.5" customHeight="1" spans="1:11">
      <c r="A142" s="3"/>
      <c r="B142" s="66"/>
      <c r="C142" s="66"/>
      <c r="D142" s="66"/>
      <c r="E142" s="66"/>
      <c r="G142" s="3"/>
      <c r="H142" s="68"/>
      <c r="I142" s="68"/>
      <c r="J142" s="68"/>
      <c r="K142" s="68"/>
    </row>
    <row r="143" ht="13.5" customHeight="1" spans="1:11">
      <c r="A143" s="3"/>
      <c r="B143" s="66"/>
      <c r="C143" s="66"/>
      <c r="D143" s="66"/>
      <c r="E143" s="66"/>
      <c r="G143" s="3"/>
      <c r="H143" s="68"/>
      <c r="I143" s="68"/>
      <c r="J143" s="68"/>
      <c r="K143" s="68"/>
    </row>
    <row r="144" ht="13.5" customHeight="1" spans="1:11">
      <c r="A144" s="3"/>
      <c r="B144" s="66"/>
      <c r="C144" s="66"/>
      <c r="D144" s="66"/>
      <c r="E144" s="66"/>
      <c r="G144" s="3"/>
      <c r="H144" s="68"/>
      <c r="I144" s="68"/>
      <c r="J144" s="68"/>
      <c r="K144" s="68"/>
    </row>
    <row r="145" ht="13.5" customHeight="1" spans="1:11">
      <c r="A145" s="3"/>
      <c r="B145" s="66"/>
      <c r="C145" s="66"/>
      <c r="D145" s="66"/>
      <c r="E145" s="66"/>
      <c r="G145" s="3"/>
      <c r="H145" s="68"/>
      <c r="I145" s="68"/>
      <c r="J145" s="68"/>
      <c r="K145" s="68"/>
    </row>
    <row r="146" ht="13.5" customHeight="1" spans="1:11">
      <c r="A146" s="3"/>
      <c r="B146" s="66"/>
      <c r="C146" s="66"/>
      <c r="D146" s="66"/>
      <c r="E146" s="66"/>
      <c r="G146" s="3"/>
      <c r="H146" s="68"/>
      <c r="I146" s="68"/>
      <c r="J146" s="68"/>
      <c r="K146" s="68"/>
    </row>
    <row r="147" ht="13.5" customHeight="1" spans="1:11">
      <c r="A147" s="3"/>
      <c r="B147" s="66"/>
      <c r="C147" s="66"/>
      <c r="D147" s="66"/>
      <c r="E147" s="66"/>
      <c r="G147" s="3"/>
      <c r="H147" s="68"/>
      <c r="I147" s="68"/>
      <c r="J147" s="68"/>
      <c r="K147" s="68"/>
    </row>
    <row r="148" ht="13.5" customHeight="1" spans="1:11">
      <c r="A148" s="3"/>
      <c r="B148" s="66"/>
      <c r="C148" s="66"/>
      <c r="D148" s="66"/>
      <c r="E148" s="66"/>
      <c r="G148" s="3"/>
      <c r="H148" s="68"/>
      <c r="I148" s="68"/>
      <c r="J148" s="68"/>
      <c r="K148" s="68"/>
    </row>
    <row r="149" ht="13.5" customHeight="1" spans="1:11">
      <c r="A149" s="3"/>
      <c r="B149" s="66"/>
      <c r="C149" s="66"/>
      <c r="D149" s="66"/>
      <c r="E149" s="66"/>
      <c r="G149" s="3"/>
      <c r="H149" s="68"/>
      <c r="I149" s="68"/>
      <c r="J149" s="68"/>
      <c r="K149" s="68"/>
    </row>
    <row r="150" ht="13.5" customHeight="1" spans="1:11">
      <c r="A150" s="3"/>
      <c r="B150" s="66"/>
      <c r="C150" s="66"/>
      <c r="D150" s="66"/>
      <c r="E150" s="66"/>
      <c r="G150" s="3"/>
      <c r="H150" s="68"/>
      <c r="I150" s="68"/>
      <c r="J150" s="68"/>
      <c r="K150" s="68"/>
    </row>
    <row r="151" ht="13.5" customHeight="1" spans="1:11">
      <c r="A151" s="3"/>
      <c r="B151" s="66"/>
      <c r="C151" s="66"/>
      <c r="D151" s="66"/>
      <c r="E151" s="66"/>
      <c r="G151" s="3"/>
      <c r="H151" s="68"/>
      <c r="I151" s="68"/>
      <c r="J151" s="68"/>
      <c r="K151" s="68"/>
    </row>
    <row r="152" ht="13.5" customHeight="1" spans="1:11">
      <c r="A152" s="3"/>
      <c r="B152" s="66"/>
      <c r="C152" s="66"/>
      <c r="D152" s="66"/>
      <c r="E152" s="66"/>
      <c r="G152" s="3"/>
      <c r="H152" s="68"/>
      <c r="I152" s="68"/>
      <c r="J152" s="68"/>
      <c r="K152" s="68"/>
    </row>
    <row r="153" ht="13.5" customHeight="1" spans="1:11">
      <c r="A153" s="3"/>
      <c r="B153" s="66"/>
      <c r="C153" s="66"/>
      <c r="D153" s="66"/>
      <c r="E153" s="66"/>
      <c r="G153" s="3"/>
      <c r="H153" s="68"/>
      <c r="I153" s="68"/>
      <c r="J153" s="68"/>
      <c r="K153" s="68"/>
    </row>
    <row r="154" ht="13.5" customHeight="1" spans="1:11">
      <c r="A154" s="3"/>
      <c r="B154" s="66"/>
      <c r="C154" s="66"/>
      <c r="D154" s="66"/>
      <c r="E154" s="66"/>
      <c r="G154" s="3"/>
      <c r="H154" s="68"/>
      <c r="I154" s="68"/>
      <c r="J154" s="68"/>
      <c r="K154" s="68"/>
    </row>
    <row r="155" ht="13.5" customHeight="1" spans="1:11">
      <c r="A155" s="3"/>
      <c r="B155" s="66"/>
      <c r="C155" s="66"/>
      <c r="D155" s="66"/>
      <c r="E155" s="66"/>
      <c r="G155" s="3"/>
      <c r="H155" s="68"/>
      <c r="I155" s="68"/>
      <c r="J155" s="68"/>
      <c r="K155" s="68"/>
    </row>
    <row r="156" ht="13.5" customHeight="1" spans="1:11">
      <c r="A156" s="3"/>
      <c r="B156" s="66"/>
      <c r="C156" s="66"/>
      <c r="D156" s="66"/>
      <c r="E156" s="66"/>
      <c r="G156" s="3"/>
      <c r="H156" s="68"/>
      <c r="I156" s="68"/>
      <c r="J156" s="68"/>
      <c r="K156" s="68"/>
    </row>
    <row r="157" ht="13.5" customHeight="1" spans="1:11">
      <c r="A157" s="3"/>
      <c r="B157" s="66"/>
      <c r="C157" s="66"/>
      <c r="D157" s="66"/>
      <c r="E157" s="66"/>
      <c r="G157" s="3"/>
      <c r="H157" s="68"/>
      <c r="I157" s="68"/>
      <c r="J157" s="68"/>
      <c r="K157" s="68"/>
    </row>
    <row r="158" ht="13.5" customHeight="1" spans="1:11">
      <c r="A158" s="3"/>
      <c r="B158" s="66"/>
      <c r="C158" s="66"/>
      <c r="D158" s="66"/>
      <c r="E158" s="66"/>
      <c r="G158" s="3"/>
      <c r="H158" s="68"/>
      <c r="I158" s="68"/>
      <c r="J158" s="68"/>
      <c r="K158" s="68"/>
    </row>
    <row r="159" ht="13.5" customHeight="1" spans="1:11">
      <c r="A159" s="3"/>
      <c r="B159" s="66"/>
      <c r="C159" s="66"/>
      <c r="D159" s="66"/>
      <c r="E159" s="66"/>
      <c r="G159" s="3"/>
      <c r="H159" s="68"/>
      <c r="I159" s="68"/>
      <c r="J159" s="68"/>
      <c r="K159" s="68"/>
    </row>
    <row r="160" ht="13.5" customHeight="1" spans="1:11">
      <c r="A160" s="3"/>
      <c r="B160" s="66"/>
      <c r="C160" s="66"/>
      <c r="D160" s="66"/>
      <c r="E160" s="66"/>
      <c r="G160" s="3"/>
      <c r="H160" s="68"/>
      <c r="I160" s="68"/>
      <c r="J160" s="68"/>
      <c r="K160" s="68"/>
    </row>
    <row r="161" ht="13.5" customHeight="1" spans="1:11">
      <c r="A161" s="3"/>
      <c r="B161" s="66"/>
      <c r="C161" s="66"/>
      <c r="D161" s="66"/>
      <c r="E161" s="66"/>
      <c r="G161" s="3"/>
      <c r="H161" s="68"/>
      <c r="I161" s="68"/>
      <c r="J161" s="68"/>
      <c r="K161" s="68"/>
    </row>
    <row r="162" ht="13.5" customHeight="1" spans="1:11">
      <c r="A162" s="3"/>
      <c r="B162" s="66"/>
      <c r="C162" s="66"/>
      <c r="D162" s="66"/>
      <c r="E162" s="66"/>
      <c r="G162" s="3"/>
      <c r="H162" s="68"/>
      <c r="I162" s="68"/>
      <c r="J162" s="68"/>
      <c r="K162" s="68"/>
    </row>
    <row r="163" ht="13.5" customHeight="1" spans="1:11">
      <c r="A163" s="3"/>
      <c r="B163" s="66"/>
      <c r="C163" s="66"/>
      <c r="D163" s="66"/>
      <c r="E163" s="66"/>
      <c r="G163" s="3"/>
      <c r="H163" s="68"/>
      <c r="I163" s="68"/>
      <c r="J163" s="68"/>
      <c r="K163" s="68"/>
    </row>
    <row r="164" ht="13.5" customHeight="1" spans="1:11">
      <c r="A164" s="3"/>
      <c r="B164" s="66"/>
      <c r="C164" s="66"/>
      <c r="D164" s="66"/>
      <c r="E164" s="66"/>
      <c r="G164" s="3"/>
      <c r="H164" s="68"/>
      <c r="I164" s="68"/>
      <c r="J164" s="68"/>
      <c r="K164" s="68"/>
    </row>
    <row r="165" ht="13.5" customHeight="1" spans="1:11">
      <c r="A165" s="3"/>
      <c r="B165" s="66"/>
      <c r="C165" s="66"/>
      <c r="D165" s="66"/>
      <c r="E165" s="66"/>
      <c r="G165" s="3"/>
      <c r="H165" s="68"/>
      <c r="I165" s="68"/>
      <c r="J165" s="68"/>
      <c r="K165" s="68"/>
    </row>
    <row r="166" ht="13.5" customHeight="1" spans="1:11">
      <c r="A166" s="3"/>
      <c r="B166" s="66"/>
      <c r="C166" s="66"/>
      <c r="D166" s="66"/>
      <c r="E166" s="66"/>
      <c r="G166" s="3"/>
      <c r="H166" s="68"/>
      <c r="I166" s="68"/>
      <c r="J166" s="68"/>
      <c r="K166" s="68"/>
    </row>
    <row r="167" ht="13.5" customHeight="1" spans="1:11">
      <c r="A167" s="3"/>
      <c r="B167" s="66"/>
      <c r="C167" s="66"/>
      <c r="D167" s="66"/>
      <c r="E167" s="66"/>
      <c r="G167" s="3"/>
      <c r="H167" s="68"/>
      <c r="I167" s="68"/>
      <c r="J167" s="68"/>
      <c r="K167" s="68"/>
    </row>
    <row r="168" ht="13.5" customHeight="1" spans="1:11">
      <c r="A168" s="3"/>
      <c r="B168" s="66"/>
      <c r="C168" s="66"/>
      <c r="D168" s="66"/>
      <c r="E168" s="66"/>
      <c r="G168" s="3"/>
      <c r="H168" s="68"/>
      <c r="I168" s="68"/>
      <c r="J168" s="68"/>
      <c r="K168" s="68"/>
    </row>
    <row r="169" ht="13.5" customHeight="1" spans="1:11">
      <c r="A169" s="3"/>
      <c r="B169" s="66"/>
      <c r="C169" s="66"/>
      <c r="D169" s="66"/>
      <c r="E169" s="66"/>
      <c r="G169" s="3"/>
      <c r="H169" s="68"/>
      <c r="I169" s="68"/>
      <c r="J169" s="68"/>
      <c r="K169" s="68"/>
    </row>
    <row r="170" ht="13.5" customHeight="1" spans="1:11">
      <c r="A170" s="3"/>
      <c r="B170" s="66"/>
      <c r="C170" s="66"/>
      <c r="D170" s="66"/>
      <c r="E170" s="66"/>
      <c r="G170" s="3"/>
      <c r="H170" s="68"/>
      <c r="I170" s="68"/>
      <c r="J170" s="68"/>
      <c r="K170" s="68"/>
    </row>
    <row r="171" ht="13.5" customHeight="1" spans="1:11">
      <c r="A171" s="3"/>
      <c r="B171" s="66"/>
      <c r="C171" s="66"/>
      <c r="D171" s="66"/>
      <c r="E171" s="66"/>
      <c r="G171" s="3"/>
      <c r="H171" s="68"/>
      <c r="I171" s="68"/>
      <c r="J171" s="68"/>
      <c r="K171" s="68"/>
    </row>
    <row r="172" ht="13.5" customHeight="1" spans="1:11">
      <c r="A172" s="3"/>
      <c r="B172" s="66"/>
      <c r="C172" s="66"/>
      <c r="D172" s="66"/>
      <c r="E172" s="66"/>
      <c r="G172" s="3"/>
      <c r="H172" s="68"/>
      <c r="I172" s="68"/>
      <c r="J172" s="68"/>
      <c r="K172" s="68"/>
    </row>
    <row r="173" ht="13.5" customHeight="1" spans="1:11">
      <c r="A173" s="3"/>
      <c r="B173" s="66"/>
      <c r="C173" s="66"/>
      <c r="D173" s="66"/>
      <c r="E173" s="66"/>
      <c r="G173" s="3"/>
      <c r="H173" s="68"/>
      <c r="I173" s="68"/>
      <c r="J173" s="68"/>
      <c r="K173" s="68"/>
    </row>
    <row r="174" ht="13.5" customHeight="1" spans="1:11">
      <c r="A174" s="3"/>
      <c r="B174" s="66"/>
      <c r="C174" s="66"/>
      <c r="D174" s="66"/>
      <c r="E174" s="66"/>
      <c r="G174" s="3"/>
      <c r="H174" s="68"/>
      <c r="I174" s="68"/>
      <c r="J174" s="68"/>
      <c r="K174" s="68"/>
    </row>
    <row r="175" ht="13.5" customHeight="1" spans="1:11">
      <c r="A175" s="3"/>
      <c r="B175" s="66"/>
      <c r="C175" s="66"/>
      <c r="D175" s="66"/>
      <c r="E175" s="66"/>
      <c r="G175" s="3"/>
      <c r="H175" s="68"/>
      <c r="I175" s="68"/>
      <c r="J175" s="68"/>
      <c r="K175" s="68"/>
    </row>
    <row r="176" ht="13.5" customHeight="1" spans="1:11">
      <c r="A176" s="3"/>
      <c r="B176" s="66"/>
      <c r="C176" s="66"/>
      <c r="D176" s="66"/>
      <c r="E176" s="66"/>
      <c r="G176" s="3"/>
      <c r="H176" s="68"/>
      <c r="I176" s="68"/>
      <c r="J176" s="68"/>
      <c r="K176" s="68"/>
    </row>
    <row r="177" ht="13.5" customHeight="1" spans="1:11">
      <c r="A177" s="3"/>
      <c r="B177" s="66"/>
      <c r="C177" s="66"/>
      <c r="D177" s="66"/>
      <c r="E177" s="66"/>
      <c r="G177" s="3"/>
      <c r="H177" s="68"/>
      <c r="I177" s="68"/>
      <c r="J177" s="68"/>
      <c r="K177" s="68"/>
    </row>
    <row r="178" ht="13.5" customHeight="1" spans="1:11">
      <c r="A178" s="3"/>
      <c r="B178" s="66"/>
      <c r="C178" s="66"/>
      <c r="D178" s="66"/>
      <c r="E178" s="66"/>
      <c r="G178" s="3"/>
      <c r="H178" s="68"/>
      <c r="I178" s="68"/>
      <c r="J178" s="68"/>
      <c r="K178" s="68"/>
    </row>
    <row r="179" ht="13.5" customHeight="1" spans="1:11">
      <c r="A179" s="3"/>
      <c r="B179" s="66"/>
      <c r="C179" s="66"/>
      <c r="D179" s="66"/>
      <c r="E179" s="66"/>
      <c r="G179" s="3"/>
      <c r="H179" s="68"/>
      <c r="I179" s="68"/>
      <c r="J179" s="68"/>
      <c r="K179" s="68"/>
    </row>
    <row r="180" ht="13.5" customHeight="1" spans="1:11">
      <c r="A180" s="3"/>
      <c r="B180" s="66"/>
      <c r="C180" s="66"/>
      <c r="D180" s="66"/>
      <c r="E180" s="66"/>
      <c r="G180" s="3"/>
      <c r="H180" s="68"/>
      <c r="I180" s="68"/>
      <c r="J180" s="68"/>
      <c r="K180" s="68"/>
    </row>
    <row r="181" ht="13.5" customHeight="1" spans="1:11">
      <c r="A181" s="3"/>
      <c r="B181" s="66"/>
      <c r="C181" s="66"/>
      <c r="D181" s="66"/>
      <c r="E181" s="66"/>
      <c r="G181" s="3"/>
      <c r="H181" s="68"/>
      <c r="I181" s="68"/>
      <c r="J181" s="68"/>
      <c r="K181" s="68"/>
    </row>
    <row r="182" ht="13.5" customHeight="1" spans="1:11">
      <c r="A182" s="3"/>
      <c r="B182" s="66"/>
      <c r="C182" s="66"/>
      <c r="D182" s="66"/>
      <c r="E182" s="66"/>
      <c r="G182" s="3"/>
      <c r="H182" s="68"/>
      <c r="I182" s="68"/>
      <c r="J182" s="68"/>
      <c r="K182" s="68"/>
    </row>
    <row r="183" ht="13.5" customHeight="1" spans="1:11">
      <c r="A183" s="3"/>
      <c r="B183" s="66"/>
      <c r="C183" s="66"/>
      <c r="D183" s="66"/>
      <c r="E183" s="66"/>
      <c r="G183" s="3"/>
      <c r="H183" s="68"/>
      <c r="I183" s="68"/>
      <c r="J183" s="68"/>
      <c r="K183" s="68"/>
    </row>
    <row r="184" ht="13.5" customHeight="1" spans="1:11">
      <c r="A184" s="3"/>
      <c r="B184" s="66"/>
      <c r="C184" s="66"/>
      <c r="D184" s="66"/>
      <c r="E184" s="66"/>
      <c r="G184" s="3"/>
      <c r="H184" s="68"/>
      <c r="I184" s="68"/>
      <c r="J184" s="68"/>
      <c r="K184" s="68"/>
    </row>
    <row r="185" ht="13.5" customHeight="1" spans="1:11">
      <c r="A185" s="3"/>
      <c r="B185" s="66"/>
      <c r="C185" s="66"/>
      <c r="D185" s="66"/>
      <c r="E185" s="66"/>
      <c r="G185" s="3"/>
      <c r="H185" s="68"/>
      <c r="I185" s="68"/>
      <c r="J185" s="68"/>
      <c r="K185" s="68"/>
    </row>
    <row r="186" ht="13.5" customHeight="1" spans="1:11">
      <c r="A186" s="3"/>
      <c r="B186" s="66"/>
      <c r="C186" s="66"/>
      <c r="D186" s="66"/>
      <c r="E186" s="66"/>
      <c r="G186" s="3"/>
      <c r="H186" s="68"/>
      <c r="I186" s="68"/>
      <c r="J186" s="68"/>
      <c r="K186" s="68"/>
    </row>
    <row r="187" ht="13.5" customHeight="1" spans="1:11">
      <c r="A187" s="3"/>
      <c r="B187" s="66"/>
      <c r="C187" s="66"/>
      <c r="D187" s="66"/>
      <c r="E187" s="66"/>
      <c r="G187" s="3"/>
      <c r="H187" s="68"/>
      <c r="I187" s="68"/>
      <c r="J187" s="68"/>
      <c r="K187" s="68"/>
    </row>
    <row r="188" ht="13.5" customHeight="1" spans="1:11">
      <c r="A188" s="3"/>
      <c r="B188" s="66"/>
      <c r="C188" s="66"/>
      <c r="D188" s="66"/>
      <c r="E188" s="66"/>
      <c r="G188" s="3"/>
      <c r="H188" s="68"/>
      <c r="I188" s="68"/>
      <c r="J188" s="68"/>
      <c r="K188" s="68"/>
    </row>
    <row r="189" ht="13.5" customHeight="1" spans="1:11">
      <c r="A189" s="3"/>
      <c r="B189" s="66"/>
      <c r="C189" s="66"/>
      <c r="D189" s="66"/>
      <c r="E189" s="66"/>
      <c r="G189" s="3"/>
      <c r="H189" s="68"/>
      <c r="I189" s="68"/>
      <c r="J189" s="68"/>
      <c r="K189" s="68"/>
    </row>
    <row r="190" ht="13.5" customHeight="1" spans="1:11">
      <c r="A190" s="3"/>
      <c r="B190" s="66"/>
      <c r="C190" s="66"/>
      <c r="D190" s="66"/>
      <c r="E190" s="66"/>
      <c r="G190" s="3"/>
      <c r="H190" s="68"/>
      <c r="I190" s="68"/>
      <c r="J190" s="68"/>
      <c r="K190" s="68"/>
    </row>
    <row r="191" ht="13.5" customHeight="1" spans="1:11">
      <c r="A191" s="3"/>
      <c r="B191" s="66"/>
      <c r="C191" s="66"/>
      <c r="D191" s="66"/>
      <c r="E191" s="66"/>
      <c r="G191" s="3"/>
      <c r="H191" s="68"/>
      <c r="I191" s="68"/>
      <c r="J191" s="68"/>
      <c r="K191" s="68"/>
    </row>
    <row r="192" ht="13.5" customHeight="1" spans="1:11">
      <c r="A192" s="3"/>
      <c r="B192" s="66"/>
      <c r="C192" s="66"/>
      <c r="D192" s="66"/>
      <c r="E192" s="66"/>
      <c r="G192" s="3"/>
      <c r="H192" s="68"/>
      <c r="I192" s="68"/>
      <c r="J192" s="68"/>
      <c r="K192" s="68"/>
    </row>
    <row r="193" ht="13.5" customHeight="1" spans="1:11">
      <c r="A193" s="3"/>
      <c r="B193" s="66"/>
      <c r="C193" s="66"/>
      <c r="D193" s="66"/>
      <c r="E193" s="66"/>
      <c r="G193" s="3"/>
      <c r="H193" s="68"/>
      <c r="I193" s="68"/>
      <c r="J193" s="68"/>
      <c r="K193" s="68"/>
    </row>
    <row r="194" ht="13.5" customHeight="1" spans="1:11">
      <c r="A194" s="3"/>
      <c r="B194" s="66"/>
      <c r="C194" s="66"/>
      <c r="D194" s="66"/>
      <c r="E194" s="66"/>
      <c r="G194" s="3"/>
      <c r="H194" s="68"/>
      <c r="I194" s="68"/>
      <c r="J194" s="68"/>
      <c r="K194" s="68"/>
    </row>
    <row r="195" ht="13.5" customHeight="1" spans="1:11">
      <c r="A195" s="3"/>
      <c r="B195" s="66"/>
      <c r="C195" s="66"/>
      <c r="D195" s="66"/>
      <c r="E195" s="66"/>
      <c r="G195" s="3"/>
      <c r="H195" s="68"/>
      <c r="I195" s="68"/>
      <c r="J195" s="68"/>
      <c r="K195" s="68"/>
    </row>
    <row r="196" ht="13.5" customHeight="1" spans="1:11">
      <c r="A196" s="3"/>
      <c r="B196" s="66"/>
      <c r="C196" s="66"/>
      <c r="D196" s="66"/>
      <c r="E196" s="66"/>
      <c r="G196" s="3"/>
      <c r="H196" s="68"/>
      <c r="I196" s="68"/>
      <c r="J196" s="68"/>
      <c r="K196" s="68"/>
    </row>
    <row r="197" ht="13.5" customHeight="1" spans="1:11">
      <c r="A197" s="3"/>
      <c r="B197" s="66"/>
      <c r="C197" s="66"/>
      <c r="D197" s="66"/>
      <c r="E197" s="66"/>
      <c r="G197" s="3"/>
      <c r="H197" s="68"/>
      <c r="I197" s="68"/>
      <c r="J197" s="68"/>
      <c r="K197" s="68"/>
    </row>
    <row r="198" ht="13.5" customHeight="1" spans="1:11">
      <c r="A198" s="3"/>
      <c r="B198" s="66"/>
      <c r="C198" s="66"/>
      <c r="D198" s="66"/>
      <c r="E198" s="66"/>
      <c r="G198" s="3"/>
      <c r="H198" s="68"/>
      <c r="I198" s="68"/>
      <c r="J198" s="68"/>
      <c r="K198" s="68"/>
    </row>
    <row r="199" ht="13.5" customHeight="1" spans="1:11">
      <c r="A199" s="3"/>
      <c r="B199" s="66"/>
      <c r="C199" s="66"/>
      <c r="D199" s="66"/>
      <c r="E199" s="66"/>
      <c r="G199" s="3"/>
      <c r="H199" s="68"/>
      <c r="I199" s="68"/>
      <c r="J199" s="68"/>
      <c r="K199" s="68"/>
    </row>
    <row r="200" ht="13.5" customHeight="1" spans="1:11">
      <c r="A200" s="3"/>
      <c r="B200" s="66"/>
      <c r="C200" s="66"/>
      <c r="D200" s="66"/>
      <c r="E200" s="66"/>
      <c r="G200" s="3"/>
      <c r="H200" s="68"/>
      <c r="I200" s="68"/>
      <c r="J200" s="68"/>
      <c r="K200" s="68"/>
    </row>
    <row r="201" spans="1:11">
      <c r="A201" s="3"/>
      <c r="B201" s="66"/>
      <c r="C201" s="66"/>
      <c r="D201" s="66"/>
      <c r="E201" s="66"/>
      <c r="G201" s="3"/>
      <c r="H201" s="68"/>
      <c r="I201" s="68"/>
      <c r="J201" s="68"/>
      <c r="K201" s="68"/>
    </row>
    <row r="202" spans="1:11">
      <c r="A202" s="3"/>
      <c r="B202" s="66"/>
      <c r="C202" s="66"/>
      <c r="D202" s="66"/>
      <c r="E202" s="66"/>
      <c r="G202" s="3"/>
      <c r="H202" s="68"/>
      <c r="I202" s="68"/>
      <c r="J202" s="68"/>
      <c r="K202" s="68"/>
    </row>
    <row r="203" spans="1:11">
      <c r="A203" s="3"/>
      <c r="B203" s="66"/>
      <c r="C203" s="66"/>
      <c r="D203" s="66"/>
      <c r="E203" s="66"/>
      <c r="G203" s="3"/>
      <c r="H203" s="68"/>
      <c r="I203" s="68"/>
      <c r="J203" s="68"/>
      <c r="K203" s="68"/>
    </row>
    <row r="204" spans="1:11">
      <c r="A204" s="3"/>
      <c r="B204" s="66"/>
      <c r="C204" s="66"/>
      <c r="D204" s="66"/>
      <c r="E204" s="66"/>
      <c r="G204" s="3"/>
      <c r="H204" s="68"/>
      <c r="I204" s="68"/>
      <c r="J204" s="68"/>
      <c r="K204" s="68"/>
    </row>
    <row r="205" spans="1:11">
      <c r="A205" s="3"/>
      <c r="B205" s="66"/>
      <c r="C205" s="66"/>
      <c r="D205" s="66"/>
      <c r="E205" s="66"/>
      <c r="G205" s="3"/>
      <c r="H205" s="68"/>
      <c r="I205" s="68"/>
      <c r="J205" s="68"/>
      <c r="K205" s="68"/>
    </row>
    <row r="206" spans="1:11">
      <c r="A206" s="3"/>
      <c r="B206" s="66"/>
      <c r="C206" s="66"/>
      <c r="D206" s="66"/>
      <c r="E206" s="66"/>
      <c r="G206" s="3"/>
      <c r="H206" s="68"/>
      <c r="I206" s="68"/>
      <c r="J206" s="68"/>
      <c r="K206" s="68"/>
    </row>
    <row r="207" spans="1:11">
      <c r="A207" s="3"/>
      <c r="B207" s="66"/>
      <c r="C207" s="66"/>
      <c r="D207" s="66"/>
      <c r="E207" s="66"/>
      <c r="G207" s="3"/>
      <c r="H207" s="68"/>
      <c r="I207" s="68"/>
      <c r="J207" s="68"/>
      <c r="K207" s="68"/>
    </row>
    <row r="208" spans="1:11">
      <c r="A208" s="3"/>
      <c r="B208" s="66"/>
      <c r="C208" s="66"/>
      <c r="D208" s="66"/>
      <c r="E208" s="66"/>
      <c r="G208" s="3"/>
      <c r="H208" s="68"/>
      <c r="I208" s="68"/>
      <c r="J208" s="68"/>
      <c r="K208" s="68"/>
    </row>
    <row r="209" spans="1:11">
      <c r="A209" s="3"/>
      <c r="B209" s="66"/>
      <c r="C209" s="66"/>
      <c r="D209" s="66"/>
      <c r="E209" s="66"/>
      <c r="G209" s="3"/>
      <c r="H209" s="68"/>
      <c r="I209" s="68"/>
      <c r="J209" s="68"/>
      <c r="K209" s="68"/>
    </row>
    <row r="210" spans="1:11">
      <c r="A210" s="3"/>
      <c r="B210" s="66"/>
      <c r="C210" s="66"/>
      <c r="D210" s="66"/>
      <c r="E210" s="66"/>
      <c r="G210" s="3"/>
      <c r="H210" s="68"/>
      <c r="I210" s="68"/>
      <c r="J210" s="68"/>
      <c r="K210" s="68"/>
    </row>
    <row r="211" spans="1:11">
      <c r="A211" s="3"/>
      <c r="B211" s="66"/>
      <c r="C211" s="66"/>
      <c r="D211" s="66"/>
      <c r="E211" s="66"/>
      <c r="G211" s="3"/>
      <c r="H211" s="68"/>
      <c r="I211" s="68"/>
      <c r="J211" s="68"/>
      <c r="K211" s="68"/>
    </row>
    <row r="212" spans="1:11">
      <c r="A212" s="3"/>
      <c r="B212" s="66"/>
      <c r="C212" s="66"/>
      <c r="D212" s="66"/>
      <c r="E212" s="66"/>
      <c r="G212" s="3"/>
      <c r="H212" s="68"/>
      <c r="I212" s="68"/>
      <c r="J212" s="68"/>
      <c r="K212" s="68"/>
    </row>
    <row r="213" spans="1:11">
      <c r="A213" s="3"/>
      <c r="B213" s="66"/>
      <c r="C213" s="66"/>
      <c r="D213" s="66"/>
      <c r="E213" s="66"/>
      <c r="G213" s="3"/>
      <c r="H213" s="68"/>
      <c r="I213" s="68"/>
      <c r="J213" s="68"/>
      <c r="K213" s="68"/>
    </row>
    <row r="214" spans="1:11">
      <c r="A214" s="3"/>
      <c r="B214" s="66"/>
      <c r="C214" s="66"/>
      <c r="D214" s="66"/>
      <c r="E214" s="66"/>
      <c r="G214" s="3"/>
      <c r="H214" s="68"/>
      <c r="I214" s="68"/>
      <c r="J214" s="68"/>
      <c r="K214" s="68"/>
    </row>
    <row r="215" spans="1:11">
      <c r="A215" s="3"/>
      <c r="B215" s="66"/>
      <c r="C215" s="66"/>
      <c r="D215" s="66"/>
      <c r="E215" s="66"/>
      <c r="G215" s="3"/>
      <c r="H215" s="68"/>
      <c r="I215" s="68"/>
      <c r="J215" s="68"/>
      <c r="K215" s="68"/>
    </row>
    <row r="216" spans="1:11">
      <c r="A216" s="3"/>
      <c r="B216" s="66"/>
      <c r="C216" s="66"/>
      <c r="D216" s="66"/>
      <c r="E216" s="66"/>
      <c r="G216" s="3"/>
      <c r="H216" s="68"/>
      <c r="I216" s="68"/>
      <c r="J216" s="68"/>
      <c r="K216" s="68"/>
    </row>
    <row r="217" spans="1:11">
      <c r="A217" s="3"/>
      <c r="B217" s="66"/>
      <c r="C217" s="66"/>
      <c r="D217" s="66"/>
      <c r="E217" s="66"/>
      <c r="G217" s="3"/>
      <c r="H217" s="68"/>
      <c r="I217" s="68"/>
      <c r="J217" s="68"/>
      <c r="K217" s="68"/>
    </row>
    <row r="218" spans="1:11">
      <c r="A218" s="3"/>
      <c r="B218" s="66"/>
      <c r="C218" s="66"/>
      <c r="D218" s="66"/>
      <c r="E218" s="66"/>
      <c r="G218" s="3"/>
      <c r="H218" s="68"/>
      <c r="I218" s="68"/>
      <c r="J218" s="68"/>
      <c r="K218" s="68"/>
    </row>
    <row r="219" spans="1:11">
      <c r="A219" s="3"/>
      <c r="B219" s="66"/>
      <c r="C219" s="66"/>
      <c r="D219" s="66"/>
      <c r="E219" s="66"/>
      <c r="G219" s="3"/>
      <c r="H219" s="68"/>
      <c r="I219" s="68"/>
      <c r="J219" s="68"/>
      <c r="K219" s="68"/>
    </row>
    <row r="220" spans="1:11">
      <c r="A220" s="3"/>
      <c r="B220" s="66"/>
      <c r="C220" s="66"/>
      <c r="D220" s="66"/>
      <c r="E220" s="66"/>
      <c r="G220" s="3"/>
      <c r="H220" s="68"/>
      <c r="I220" s="68"/>
      <c r="J220" s="68"/>
      <c r="K220" s="68"/>
    </row>
    <row r="221" spans="1:11">
      <c r="A221" s="3"/>
      <c r="B221" s="66"/>
      <c r="C221" s="66"/>
      <c r="D221" s="66"/>
      <c r="E221" s="66"/>
      <c r="G221" s="3"/>
      <c r="H221" s="68"/>
      <c r="I221" s="68"/>
      <c r="J221" s="68"/>
      <c r="K221" s="68"/>
    </row>
    <row r="222" spans="1:11">
      <c r="A222" s="3"/>
      <c r="B222" s="66"/>
      <c r="C222" s="66"/>
      <c r="D222" s="66"/>
      <c r="E222" s="66"/>
      <c r="G222" s="3"/>
      <c r="H222" s="68"/>
      <c r="I222" s="68"/>
      <c r="J222" s="68"/>
      <c r="K222" s="68"/>
    </row>
    <row r="223" spans="1:11">
      <c r="A223" s="3"/>
      <c r="B223" s="66"/>
      <c r="C223" s="66"/>
      <c r="D223" s="66"/>
      <c r="E223" s="66"/>
      <c r="G223" s="3"/>
      <c r="H223" s="68"/>
      <c r="I223" s="68"/>
      <c r="J223" s="68"/>
      <c r="K223" s="68"/>
    </row>
    <row r="224" spans="1:11">
      <c r="A224" s="3"/>
      <c r="B224" s="66"/>
      <c r="C224" s="66"/>
      <c r="D224" s="66"/>
      <c r="E224" s="66"/>
      <c r="G224" s="3"/>
      <c r="H224" s="68"/>
      <c r="I224" s="68"/>
      <c r="J224" s="68"/>
      <c r="K224" s="68"/>
    </row>
    <row r="225" spans="1:11">
      <c r="A225" s="3"/>
      <c r="B225" s="66"/>
      <c r="C225" s="66"/>
      <c r="D225" s="66"/>
      <c r="E225" s="66"/>
      <c r="G225" s="3"/>
      <c r="H225" s="68"/>
      <c r="I225" s="68"/>
      <c r="J225" s="68"/>
      <c r="K225" s="68"/>
    </row>
    <row r="226" spans="1:11">
      <c r="A226" s="3"/>
      <c r="B226" s="66"/>
      <c r="C226" s="66"/>
      <c r="D226" s="66"/>
      <c r="E226" s="66"/>
      <c r="G226" s="3"/>
      <c r="H226" s="68"/>
      <c r="I226" s="68"/>
      <c r="J226" s="68"/>
      <c r="K226" s="68"/>
    </row>
    <row r="227" spans="1:11">
      <c r="A227" s="3"/>
      <c r="B227" s="66"/>
      <c r="C227" s="66"/>
      <c r="D227" s="66"/>
      <c r="E227" s="66"/>
      <c r="G227" s="3"/>
      <c r="H227" s="68"/>
      <c r="I227" s="68"/>
      <c r="J227" s="68"/>
      <c r="K227" s="68"/>
    </row>
    <row r="228" spans="1:11">
      <c r="A228" s="3"/>
      <c r="B228" s="66"/>
      <c r="C228" s="66"/>
      <c r="D228" s="66"/>
      <c r="E228" s="66"/>
      <c r="G228" s="3"/>
      <c r="H228" s="68"/>
      <c r="I228" s="68"/>
      <c r="J228" s="68"/>
      <c r="K228" s="68"/>
    </row>
    <row r="229" spans="1:11">
      <c r="A229" s="3"/>
      <c r="B229" s="66"/>
      <c r="C229" s="66"/>
      <c r="D229" s="66"/>
      <c r="E229" s="66"/>
      <c r="G229" s="3"/>
      <c r="H229" s="68"/>
      <c r="I229" s="68"/>
      <c r="J229" s="68"/>
      <c r="K229" s="68"/>
    </row>
    <row r="230" spans="1:11">
      <c r="A230" s="3"/>
      <c r="B230" s="66"/>
      <c r="C230" s="66"/>
      <c r="D230" s="66"/>
      <c r="E230" s="66"/>
      <c r="G230" s="3"/>
      <c r="H230" s="68"/>
      <c r="I230" s="68"/>
      <c r="J230" s="68"/>
      <c r="K230" s="68"/>
    </row>
    <row r="231" spans="1:11">
      <c r="A231" s="3"/>
      <c r="B231" s="66"/>
      <c r="C231" s="66"/>
      <c r="D231" s="66"/>
      <c r="E231" s="66"/>
      <c r="G231" s="3"/>
      <c r="H231" s="68"/>
      <c r="I231" s="68"/>
      <c r="J231" s="68"/>
      <c r="K231" s="68"/>
    </row>
    <row r="232" spans="1:11">
      <c r="A232" s="3"/>
      <c r="B232" s="66"/>
      <c r="C232" s="66"/>
      <c r="D232" s="66"/>
      <c r="E232" s="66"/>
      <c r="G232" s="3"/>
      <c r="H232" s="68"/>
      <c r="I232" s="68"/>
      <c r="J232" s="68"/>
      <c r="K232" s="68"/>
    </row>
    <row r="233" spans="1:11">
      <c r="A233" s="3"/>
      <c r="B233" s="66"/>
      <c r="C233" s="66"/>
      <c r="D233" s="66"/>
      <c r="E233" s="66"/>
      <c r="G233" s="3"/>
      <c r="H233" s="68"/>
      <c r="I233" s="68"/>
      <c r="J233" s="68"/>
      <c r="K233" s="68"/>
    </row>
    <row r="234" spans="1:11">
      <c r="A234" s="3"/>
      <c r="B234" s="66"/>
      <c r="C234" s="66"/>
      <c r="D234" s="66"/>
      <c r="E234" s="66"/>
      <c r="G234" s="3"/>
      <c r="H234" s="68"/>
      <c r="I234" s="68"/>
      <c r="J234" s="68"/>
      <c r="K234" s="68"/>
    </row>
    <row r="235" spans="1:11">
      <c r="A235" s="3"/>
      <c r="B235" s="66"/>
      <c r="C235" s="66"/>
      <c r="D235" s="66"/>
      <c r="E235" s="66"/>
      <c r="G235" s="3"/>
      <c r="H235" s="68"/>
      <c r="I235" s="68"/>
      <c r="J235" s="68"/>
      <c r="K235" s="68"/>
    </row>
    <row r="236" spans="1:11">
      <c r="A236" s="3"/>
      <c r="B236" s="66"/>
      <c r="C236" s="66"/>
      <c r="D236" s="66"/>
      <c r="E236" s="66"/>
      <c r="G236" s="3"/>
      <c r="H236" s="68"/>
      <c r="I236" s="68"/>
      <c r="J236" s="68"/>
      <c r="K236" s="68"/>
    </row>
    <row r="237" spans="1:11">
      <c r="A237" s="3"/>
      <c r="B237" s="66"/>
      <c r="C237" s="66"/>
      <c r="D237" s="66"/>
      <c r="E237" s="66"/>
      <c r="G237" s="3"/>
      <c r="H237" s="68"/>
      <c r="I237" s="68"/>
      <c r="J237" s="68"/>
      <c r="K237" s="68"/>
    </row>
    <row r="238" spans="1:11">
      <c r="A238" s="3"/>
      <c r="B238" s="66"/>
      <c r="C238" s="66"/>
      <c r="D238" s="66"/>
      <c r="E238" s="66"/>
      <c r="G238" s="3"/>
      <c r="H238" s="68"/>
      <c r="I238" s="68"/>
      <c r="J238" s="68"/>
      <c r="K238" s="68"/>
    </row>
    <row r="239" spans="1:11">
      <c r="A239" s="3"/>
      <c r="B239" s="66"/>
      <c r="C239" s="66"/>
      <c r="D239" s="66"/>
      <c r="E239" s="66"/>
      <c r="G239" s="3"/>
      <c r="H239" s="68"/>
      <c r="I239" s="68"/>
      <c r="J239" s="68"/>
      <c r="K239" s="68"/>
    </row>
    <row r="240" spans="1:11">
      <c r="A240" s="3"/>
      <c r="B240" s="66"/>
      <c r="C240" s="66"/>
      <c r="D240" s="66"/>
      <c r="E240" s="66"/>
      <c r="G240" s="3"/>
      <c r="H240" s="68"/>
      <c r="I240" s="68"/>
      <c r="J240" s="68"/>
      <c r="K240" s="68"/>
    </row>
    <row r="241" spans="1:11">
      <c r="A241" s="3"/>
      <c r="B241" s="66"/>
      <c r="C241" s="66"/>
      <c r="D241" s="66"/>
      <c r="E241" s="66"/>
      <c r="G241" s="3"/>
      <c r="H241" s="68"/>
      <c r="I241" s="68"/>
      <c r="J241" s="68"/>
      <c r="K241" s="68"/>
    </row>
    <row r="242" spans="1:11">
      <c r="A242" s="3"/>
      <c r="B242" s="66"/>
      <c r="C242" s="66"/>
      <c r="D242" s="66"/>
      <c r="E242" s="66"/>
      <c r="G242" s="3"/>
      <c r="H242" s="68"/>
      <c r="I242" s="68"/>
      <c r="J242" s="68"/>
      <c r="K242" s="68"/>
    </row>
    <row r="243" spans="1:11">
      <c r="A243" s="3"/>
      <c r="B243" s="66"/>
      <c r="C243" s="66"/>
      <c r="D243" s="66"/>
      <c r="E243" s="66"/>
      <c r="G243" s="3"/>
      <c r="H243" s="68"/>
      <c r="I243" s="68"/>
      <c r="J243" s="68"/>
      <c r="K243" s="68"/>
    </row>
    <row r="244" spans="1:11">
      <c r="A244" s="3"/>
      <c r="B244" s="66"/>
      <c r="C244" s="66"/>
      <c r="D244" s="66"/>
      <c r="E244" s="66"/>
      <c r="G244" s="3"/>
      <c r="H244" s="68"/>
      <c r="I244" s="68"/>
      <c r="J244" s="68"/>
      <c r="K244" s="68"/>
    </row>
    <row r="245" spans="1:11">
      <c r="A245" s="3"/>
      <c r="B245" s="66"/>
      <c r="C245" s="66"/>
      <c r="D245" s="66"/>
      <c r="E245" s="66"/>
      <c r="G245" s="3"/>
      <c r="H245" s="68"/>
      <c r="I245" s="68"/>
      <c r="J245" s="68"/>
      <c r="K245" s="68"/>
    </row>
    <row r="246" spans="1:11">
      <c r="A246" s="3"/>
      <c r="B246" s="66"/>
      <c r="C246" s="66"/>
      <c r="D246" s="66"/>
      <c r="E246" s="66"/>
      <c r="G246" s="3"/>
      <c r="H246" s="68"/>
      <c r="I246" s="68"/>
      <c r="J246" s="68"/>
      <c r="K246" s="68"/>
    </row>
    <row r="247" spans="1:11">
      <c r="A247" s="3"/>
      <c r="B247" s="66"/>
      <c r="C247" s="66"/>
      <c r="D247" s="66"/>
      <c r="E247" s="66"/>
      <c r="G247" s="3"/>
      <c r="H247" s="68"/>
      <c r="I247" s="68"/>
      <c r="J247" s="68"/>
      <c r="K247" s="68"/>
    </row>
    <row r="248" spans="1:11">
      <c r="A248" s="3"/>
      <c r="B248" s="66"/>
      <c r="C248" s="66"/>
      <c r="D248" s="66"/>
      <c r="E248" s="66"/>
      <c r="G248" s="3"/>
      <c r="H248" s="68"/>
      <c r="I248" s="68"/>
      <c r="J248" s="68"/>
      <c r="K248" s="68"/>
    </row>
    <row r="249" spans="1:11">
      <c r="A249" s="3"/>
      <c r="B249" s="66"/>
      <c r="C249" s="66"/>
      <c r="D249" s="66"/>
      <c r="E249" s="66"/>
      <c r="G249" s="3"/>
      <c r="H249" s="68"/>
      <c r="I249" s="68"/>
      <c r="J249" s="68"/>
      <c r="K249" s="68"/>
    </row>
    <row r="250" spans="1:11">
      <c r="A250" s="3"/>
      <c r="B250" s="66"/>
      <c r="C250" s="66"/>
      <c r="D250" s="66"/>
      <c r="E250" s="66"/>
      <c r="G250" s="3"/>
      <c r="H250" s="68"/>
      <c r="I250" s="68"/>
      <c r="J250" s="68"/>
      <c r="K250" s="68"/>
    </row>
    <row r="251" spans="1:11">
      <c r="A251" s="3"/>
      <c r="B251" s="66"/>
      <c r="C251" s="66"/>
      <c r="D251" s="66"/>
      <c r="E251" s="66"/>
      <c r="G251" s="3"/>
      <c r="H251" s="68"/>
      <c r="I251" s="68"/>
      <c r="J251" s="68"/>
      <c r="K251" s="68"/>
    </row>
    <row r="252" spans="1:11">
      <c r="A252" s="3"/>
      <c r="B252" s="66"/>
      <c r="C252" s="66"/>
      <c r="D252" s="66"/>
      <c r="E252" s="66"/>
      <c r="G252" s="3"/>
      <c r="H252" s="68"/>
      <c r="I252" s="68"/>
      <c r="J252" s="68"/>
      <c r="K252" s="68"/>
    </row>
    <row r="253" spans="1:11">
      <c r="A253" s="3"/>
      <c r="B253" s="66"/>
      <c r="C253" s="66"/>
      <c r="D253" s="66"/>
      <c r="E253" s="66"/>
      <c r="G253" s="3"/>
      <c r="H253" s="68"/>
      <c r="I253" s="68"/>
      <c r="J253" s="68"/>
      <c r="K253" s="68"/>
    </row>
    <row r="254" spans="1:11">
      <c r="A254" s="3"/>
      <c r="B254" s="66"/>
      <c r="C254" s="66"/>
      <c r="D254" s="66"/>
      <c r="E254" s="66"/>
      <c r="G254" s="3"/>
      <c r="H254" s="68"/>
      <c r="I254" s="68"/>
      <c r="J254" s="68"/>
      <c r="K254" s="68"/>
    </row>
    <row r="255" spans="1:11">
      <c r="A255" s="3"/>
      <c r="B255" s="66"/>
      <c r="C255" s="66"/>
      <c r="D255" s="66"/>
      <c r="E255" s="66"/>
      <c r="G255" s="3"/>
      <c r="H255" s="68"/>
      <c r="I255" s="68"/>
      <c r="J255" s="68"/>
      <c r="K255" s="68"/>
    </row>
    <row r="256" spans="1:11">
      <c r="A256" s="3"/>
      <c r="B256" s="66"/>
      <c r="C256" s="66"/>
      <c r="D256" s="66"/>
      <c r="E256" s="66"/>
      <c r="G256" s="3"/>
      <c r="H256" s="68"/>
      <c r="I256" s="68"/>
      <c r="J256" s="68"/>
      <c r="K256" s="68"/>
    </row>
    <row r="257" spans="1:11">
      <c r="A257" s="3"/>
      <c r="B257" s="66"/>
      <c r="C257" s="66"/>
      <c r="D257" s="66"/>
      <c r="E257" s="66"/>
      <c r="G257" s="3"/>
      <c r="H257" s="68"/>
      <c r="I257" s="68"/>
      <c r="J257" s="68"/>
      <c r="K257" s="68"/>
    </row>
    <row r="258" spans="1:11">
      <c r="A258" s="3"/>
      <c r="B258" s="66"/>
      <c r="C258" s="66"/>
      <c r="D258" s="66"/>
      <c r="E258" s="66"/>
      <c r="G258" s="3"/>
      <c r="H258" s="68"/>
      <c r="I258" s="68"/>
      <c r="J258" s="68"/>
      <c r="K258" s="68"/>
    </row>
    <row r="259" spans="1:11">
      <c r="A259" s="3"/>
      <c r="B259" s="66"/>
      <c r="C259" s="66"/>
      <c r="D259" s="66"/>
      <c r="E259" s="66"/>
      <c r="G259" s="3"/>
      <c r="H259" s="68"/>
      <c r="I259" s="68"/>
      <c r="J259" s="68"/>
      <c r="K259" s="68"/>
    </row>
    <row r="260" spans="1:11">
      <c r="A260" s="3"/>
      <c r="B260" s="66"/>
      <c r="C260" s="66"/>
      <c r="D260" s="66"/>
      <c r="E260" s="66"/>
      <c r="G260" s="3"/>
      <c r="H260" s="68"/>
      <c r="I260" s="68"/>
      <c r="J260" s="68"/>
      <c r="K260" s="68"/>
    </row>
    <row r="261" spans="1:11">
      <c r="A261" s="3"/>
      <c r="B261" s="66"/>
      <c r="C261" s="66"/>
      <c r="D261" s="66"/>
      <c r="E261" s="66"/>
      <c r="G261" s="3"/>
      <c r="H261" s="68"/>
      <c r="I261" s="68"/>
      <c r="J261" s="68"/>
      <c r="K261" s="68"/>
    </row>
    <row r="262" spans="1:11">
      <c r="A262" s="3"/>
      <c r="B262" s="66"/>
      <c r="C262" s="66"/>
      <c r="D262" s="66"/>
      <c r="E262" s="66"/>
      <c r="G262" s="3"/>
      <c r="H262" s="68"/>
      <c r="I262" s="68"/>
      <c r="J262" s="68"/>
      <c r="K262" s="68"/>
    </row>
    <row r="263" spans="1:11">
      <c r="A263" s="3"/>
      <c r="B263" s="66"/>
      <c r="C263" s="66"/>
      <c r="D263" s="66"/>
      <c r="E263" s="66"/>
      <c r="G263" s="3"/>
      <c r="H263" s="68"/>
      <c r="I263" s="68"/>
      <c r="J263" s="68"/>
      <c r="K263" s="68"/>
    </row>
    <row r="264" spans="1:11">
      <c r="A264" s="3"/>
      <c r="B264" s="66"/>
      <c r="C264" s="66"/>
      <c r="D264" s="66"/>
      <c r="E264" s="66"/>
      <c r="G264" s="3"/>
      <c r="H264" s="68"/>
      <c r="I264" s="68"/>
      <c r="J264" s="68"/>
      <c r="K264" s="68"/>
    </row>
    <row r="265" spans="1:11">
      <c r="A265" s="3"/>
      <c r="B265" s="66"/>
      <c r="C265" s="66"/>
      <c r="D265" s="66"/>
      <c r="E265" s="66"/>
      <c r="G265" s="3"/>
      <c r="H265" s="68"/>
      <c r="I265" s="68"/>
      <c r="J265" s="68"/>
      <c r="K265" s="68"/>
    </row>
    <row r="266" spans="1:11">
      <c r="A266" s="3"/>
      <c r="B266" s="66"/>
      <c r="C266" s="66"/>
      <c r="D266" s="66"/>
      <c r="E266" s="66"/>
      <c r="G266" s="3"/>
      <c r="H266" s="68"/>
      <c r="I266" s="68"/>
      <c r="J266" s="68"/>
      <c r="K266" s="68"/>
    </row>
    <row r="267" spans="1:11">
      <c r="A267" s="3"/>
      <c r="B267" s="66"/>
      <c r="C267" s="66"/>
      <c r="D267" s="66"/>
      <c r="E267" s="66"/>
      <c r="G267" s="3"/>
      <c r="H267" s="68"/>
      <c r="I267" s="68"/>
      <c r="J267" s="68"/>
      <c r="K267" s="68"/>
    </row>
    <row r="268" spans="1:11">
      <c r="A268" s="3"/>
      <c r="B268" s="66"/>
      <c r="C268" s="66"/>
      <c r="D268" s="66"/>
      <c r="E268" s="66"/>
      <c r="G268" s="3"/>
      <c r="H268" s="68"/>
      <c r="I268" s="68"/>
      <c r="J268" s="68"/>
      <c r="K268" s="68"/>
    </row>
    <row r="269" spans="1:11">
      <c r="A269" s="3"/>
      <c r="B269" s="66"/>
      <c r="C269" s="66"/>
      <c r="D269" s="66"/>
      <c r="E269" s="66"/>
      <c r="G269" s="3"/>
      <c r="H269" s="68"/>
      <c r="I269" s="68"/>
      <c r="J269" s="68"/>
      <c r="K269" s="68"/>
    </row>
    <row r="270" spans="1:11">
      <c r="A270" s="3"/>
      <c r="B270" s="66"/>
      <c r="C270" s="66"/>
      <c r="D270" s="66"/>
      <c r="E270" s="66"/>
      <c r="G270" s="3"/>
      <c r="H270" s="68"/>
      <c r="I270" s="68"/>
      <c r="J270" s="68"/>
      <c r="K270" s="68"/>
    </row>
    <row r="271" spans="1:11">
      <c r="A271" s="3"/>
      <c r="B271" s="66"/>
      <c r="C271" s="66"/>
      <c r="D271" s="66"/>
      <c r="E271" s="66"/>
      <c r="G271" s="3"/>
      <c r="H271" s="68"/>
      <c r="I271" s="68"/>
      <c r="J271" s="68"/>
      <c r="K271" s="68"/>
    </row>
    <row r="272" spans="1:11">
      <c r="A272" s="3"/>
      <c r="B272" s="66"/>
      <c r="C272" s="66"/>
      <c r="D272" s="66"/>
      <c r="E272" s="66"/>
      <c r="G272" s="3"/>
      <c r="H272" s="68"/>
      <c r="I272" s="68"/>
      <c r="J272" s="68"/>
      <c r="K272" s="68"/>
    </row>
    <row r="273" spans="1:11">
      <c r="A273" s="3"/>
      <c r="B273" s="66"/>
      <c r="C273" s="66"/>
      <c r="D273" s="66"/>
      <c r="E273" s="66"/>
      <c r="G273" s="3"/>
      <c r="H273" s="68"/>
      <c r="I273" s="68"/>
      <c r="J273" s="68"/>
      <c r="K273" s="68"/>
    </row>
    <row r="274" spans="1:11">
      <c r="A274" s="3"/>
      <c r="B274" s="66"/>
      <c r="C274" s="66"/>
      <c r="D274" s="66"/>
      <c r="E274" s="66"/>
      <c r="G274" s="3"/>
      <c r="H274" s="68"/>
      <c r="I274" s="68"/>
      <c r="J274" s="68"/>
      <c r="K274" s="68"/>
    </row>
    <row r="275" spans="1:11">
      <c r="A275" s="3"/>
      <c r="B275" s="66"/>
      <c r="C275" s="66"/>
      <c r="D275" s="66"/>
      <c r="E275" s="66"/>
      <c r="G275" s="3"/>
      <c r="H275" s="68"/>
      <c r="I275" s="68"/>
      <c r="J275" s="68"/>
      <c r="K275" s="68"/>
    </row>
    <row r="276" spans="1:11">
      <c r="A276" s="3"/>
      <c r="B276" s="66"/>
      <c r="C276" s="66"/>
      <c r="D276" s="66"/>
      <c r="E276" s="66"/>
      <c r="G276" s="3"/>
      <c r="H276" s="68"/>
      <c r="I276" s="68"/>
      <c r="J276" s="68"/>
      <c r="K276" s="68"/>
    </row>
    <row r="277" spans="1:11">
      <c r="A277" s="3"/>
      <c r="B277" s="66"/>
      <c r="C277" s="66"/>
      <c r="D277" s="66"/>
      <c r="E277" s="66"/>
      <c r="G277" s="3"/>
      <c r="H277" s="68"/>
      <c r="I277" s="68"/>
      <c r="J277" s="68"/>
      <c r="K277" s="68"/>
    </row>
    <row r="278" spans="1:11">
      <c r="A278" s="3"/>
      <c r="B278" s="66"/>
      <c r="C278" s="66"/>
      <c r="D278" s="66"/>
      <c r="E278" s="66"/>
      <c r="G278" s="3"/>
      <c r="H278" s="68"/>
      <c r="I278" s="68"/>
      <c r="J278" s="68"/>
      <c r="K278" s="68"/>
    </row>
    <row r="279" spans="1:11">
      <c r="A279" s="3"/>
      <c r="B279" s="66"/>
      <c r="C279" s="66"/>
      <c r="D279" s="66"/>
      <c r="E279" s="66"/>
      <c r="G279" s="3"/>
      <c r="H279" s="68"/>
      <c r="I279" s="68"/>
      <c r="J279" s="68"/>
      <c r="K279" s="68"/>
    </row>
    <row r="280" spans="1:11">
      <c r="A280" s="3"/>
      <c r="B280" s="66"/>
      <c r="C280" s="66"/>
      <c r="D280" s="66"/>
      <c r="E280" s="66"/>
      <c r="G280" s="3"/>
      <c r="H280" s="68"/>
      <c r="I280" s="68"/>
      <c r="J280" s="68"/>
      <c r="K280" s="68"/>
    </row>
    <row r="281" spans="1:11">
      <c r="A281" s="3"/>
      <c r="B281" s="66"/>
      <c r="C281" s="66"/>
      <c r="D281" s="66"/>
      <c r="E281" s="66"/>
      <c r="G281" s="3"/>
      <c r="H281" s="68"/>
      <c r="I281" s="68"/>
      <c r="J281" s="68"/>
      <c r="K281" s="68"/>
    </row>
    <row r="282" spans="1:11">
      <c r="A282" s="3"/>
      <c r="B282" s="66"/>
      <c r="C282" s="66"/>
      <c r="D282" s="66"/>
      <c r="E282" s="66"/>
      <c r="G282" s="3"/>
      <c r="H282" s="68"/>
      <c r="I282" s="68"/>
      <c r="J282" s="68"/>
      <c r="K282" s="68"/>
    </row>
    <row r="283" spans="1:11">
      <c r="A283" s="3"/>
      <c r="B283" s="66"/>
      <c r="C283" s="66"/>
      <c r="D283" s="66"/>
      <c r="E283" s="66"/>
      <c r="G283" s="3"/>
      <c r="H283" s="68"/>
      <c r="I283" s="68"/>
      <c r="J283" s="68"/>
      <c r="K283" s="68"/>
    </row>
    <row r="284" spans="1:11">
      <c r="A284" s="3"/>
      <c r="B284" s="66"/>
      <c r="C284" s="66"/>
      <c r="D284" s="66"/>
      <c r="E284" s="66"/>
      <c r="G284" s="3"/>
      <c r="H284" s="68"/>
      <c r="I284" s="68"/>
      <c r="J284" s="68"/>
      <c r="K284" s="68"/>
    </row>
    <row r="285" spans="1:11">
      <c r="A285" s="3"/>
      <c r="B285" s="66"/>
      <c r="C285" s="66"/>
      <c r="D285" s="66"/>
      <c r="E285" s="66"/>
      <c r="G285" s="3"/>
      <c r="H285" s="68"/>
      <c r="I285" s="68"/>
      <c r="J285" s="68"/>
      <c r="K285" s="68"/>
    </row>
    <row r="286" spans="1:11">
      <c r="A286" s="3"/>
      <c r="B286" s="66"/>
      <c r="C286" s="66"/>
      <c r="D286" s="66"/>
      <c r="E286" s="66"/>
      <c r="G286" s="3"/>
      <c r="H286" s="68"/>
      <c r="I286" s="68"/>
      <c r="J286" s="68"/>
      <c r="K286" s="68"/>
    </row>
    <row r="287" spans="1:11">
      <c r="A287" s="3"/>
      <c r="B287" s="66"/>
      <c r="C287" s="66"/>
      <c r="D287" s="66"/>
      <c r="E287" s="66"/>
      <c r="G287" s="3"/>
      <c r="H287" s="68"/>
      <c r="I287" s="68"/>
      <c r="J287" s="68"/>
      <c r="K287" s="68"/>
    </row>
    <row r="288" spans="1:11">
      <c r="A288" s="3"/>
      <c r="B288" s="66"/>
      <c r="C288" s="66"/>
      <c r="D288" s="66"/>
      <c r="E288" s="66"/>
      <c r="G288" s="3"/>
      <c r="H288" s="68"/>
      <c r="I288" s="68"/>
      <c r="J288" s="68"/>
      <c r="K288" s="68"/>
    </row>
    <row r="289" spans="1:11">
      <c r="A289" s="3"/>
      <c r="B289" s="66"/>
      <c r="C289" s="66"/>
      <c r="D289" s="66"/>
      <c r="E289" s="66"/>
      <c r="G289" s="3"/>
      <c r="H289" s="68"/>
      <c r="I289" s="68"/>
      <c r="J289" s="68"/>
      <c r="K289" s="68"/>
    </row>
    <row r="290" spans="1:11">
      <c r="A290" s="3"/>
      <c r="B290" s="66"/>
      <c r="C290" s="66"/>
      <c r="D290" s="66"/>
      <c r="E290" s="66"/>
      <c r="G290" s="3"/>
      <c r="H290" s="68"/>
      <c r="I290" s="68"/>
      <c r="J290" s="68"/>
      <c r="K290" s="68"/>
    </row>
    <row r="291" spans="1:11">
      <c r="A291" s="3"/>
      <c r="B291" s="66"/>
      <c r="C291" s="66"/>
      <c r="D291" s="66"/>
      <c r="E291" s="66"/>
      <c r="G291" s="3"/>
      <c r="H291" s="68"/>
      <c r="I291" s="68"/>
      <c r="J291" s="68"/>
      <c r="K291" s="68"/>
    </row>
    <row r="292" spans="1:11">
      <c r="A292" s="3"/>
      <c r="B292" s="66"/>
      <c r="C292" s="66"/>
      <c r="D292" s="66"/>
      <c r="E292" s="66"/>
      <c r="G292" s="3"/>
      <c r="H292" s="68"/>
      <c r="I292" s="68"/>
      <c r="J292" s="68"/>
      <c r="K292" s="68"/>
    </row>
    <row r="293" spans="1:11">
      <c r="A293" s="3"/>
      <c r="B293" s="66"/>
      <c r="C293" s="66"/>
      <c r="D293" s="66"/>
      <c r="E293" s="66"/>
      <c r="G293" s="3"/>
      <c r="H293" s="68"/>
      <c r="I293" s="68"/>
      <c r="J293" s="68"/>
      <c r="K293" s="68"/>
    </row>
    <row r="294" spans="1:11">
      <c r="A294" s="3"/>
      <c r="B294" s="66"/>
      <c r="C294" s="66"/>
      <c r="D294" s="66"/>
      <c r="E294" s="66"/>
      <c r="G294" s="3"/>
      <c r="H294" s="68"/>
      <c r="I294" s="68"/>
      <c r="J294" s="68"/>
      <c r="K294" s="68"/>
    </row>
    <row r="295" spans="1:11">
      <c r="A295" s="3"/>
      <c r="B295" s="66"/>
      <c r="C295" s="66"/>
      <c r="D295" s="66"/>
      <c r="E295" s="66"/>
      <c r="G295" s="3"/>
      <c r="H295" s="68"/>
      <c r="I295" s="68"/>
      <c r="J295" s="68"/>
      <c r="K295" s="68"/>
    </row>
    <row r="296" spans="1:11">
      <c r="A296" s="3"/>
      <c r="B296" s="66"/>
      <c r="C296" s="66"/>
      <c r="D296" s="66"/>
      <c r="E296" s="66"/>
      <c r="G296" s="3"/>
      <c r="H296" s="68"/>
      <c r="I296" s="68"/>
      <c r="J296" s="68"/>
      <c r="K296" s="68"/>
    </row>
    <row r="297" spans="1:11">
      <c r="A297" s="3"/>
      <c r="B297" s="66"/>
      <c r="C297" s="66"/>
      <c r="D297" s="66"/>
      <c r="E297" s="66"/>
      <c r="G297" s="3"/>
      <c r="H297" s="68"/>
      <c r="I297" s="68"/>
      <c r="J297" s="68"/>
      <c r="K297" s="68"/>
    </row>
    <row r="298" spans="1:11">
      <c r="A298" s="3"/>
      <c r="B298" s="66"/>
      <c r="C298" s="66"/>
      <c r="D298" s="66"/>
      <c r="E298" s="66"/>
      <c r="G298" s="3"/>
      <c r="H298" s="68"/>
      <c r="I298" s="68"/>
      <c r="J298" s="68"/>
      <c r="K298" s="68"/>
    </row>
    <row r="299" spans="1:11">
      <c r="A299" s="3"/>
      <c r="B299" s="66"/>
      <c r="C299" s="66"/>
      <c r="D299" s="66"/>
      <c r="E299" s="66"/>
      <c r="G299" s="3"/>
      <c r="H299" s="68"/>
      <c r="I299" s="68"/>
      <c r="J299" s="68"/>
      <c r="K299" s="68"/>
    </row>
    <row r="300" spans="1:11">
      <c r="A300" s="3"/>
      <c r="B300" s="66"/>
      <c r="C300" s="66"/>
      <c r="D300" s="66"/>
      <c r="E300" s="66"/>
      <c r="G300" s="3"/>
      <c r="H300" s="68"/>
      <c r="I300" s="68"/>
      <c r="J300" s="68"/>
      <c r="K300" s="68"/>
    </row>
    <row r="301" spans="1:11">
      <c r="A301" s="3"/>
      <c r="B301" s="66"/>
      <c r="C301" s="66"/>
      <c r="D301" s="66"/>
      <c r="E301" s="66"/>
      <c r="G301" s="3"/>
      <c r="H301" s="68"/>
      <c r="I301" s="68"/>
      <c r="J301" s="68"/>
      <c r="K301" s="68"/>
    </row>
    <row r="302" spans="1:11">
      <c r="A302" s="3"/>
      <c r="B302" s="66"/>
      <c r="C302" s="66"/>
      <c r="D302" s="66"/>
      <c r="E302" s="66"/>
      <c r="G302" s="3"/>
      <c r="H302" s="68"/>
      <c r="I302" s="68"/>
      <c r="J302" s="68"/>
      <c r="K302" s="68"/>
    </row>
    <row r="303" spans="1:11">
      <c r="A303" s="3"/>
      <c r="B303" s="66"/>
      <c r="C303" s="66"/>
      <c r="D303" s="66"/>
      <c r="E303" s="66"/>
      <c r="G303" s="3"/>
      <c r="H303" s="68"/>
      <c r="I303" s="68"/>
      <c r="J303" s="68"/>
      <c r="K303" s="68"/>
    </row>
    <row r="304" spans="1:11">
      <c r="A304" s="3"/>
      <c r="B304" s="66"/>
      <c r="C304" s="66"/>
      <c r="D304" s="66"/>
      <c r="E304" s="66"/>
      <c r="G304" s="3"/>
      <c r="H304" s="68"/>
      <c r="I304" s="68"/>
      <c r="J304" s="68"/>
      <c r="K304" s="68"/>
    </row>
    <row r="305" spans="1:11">
      <c r="A305" s="3"/>
      <c r="B305" s="66"/>
      <c r="C305" s="66"/>
      <c r="D305" s="66"/>
      <c r="E305" s="66"/>
      <c r="G305" s="3"/>
      <c r="H305" s="68"/>
      <c r="I305" s="68"/>
      <c r="J305" s="68"/>
      <c r="K305" s="68"/>
    </row>
    <row r="306" spans="1:11">
      <c r="A306" s="3"/>
      <c r="B306" s="66"/>
      <c r="C306" s="66"/>
      <c r="D306" s="66"/>
      <c r="E306" s="66"/>
      <c r="G306" s="3"/>
      <c r="H306" s="68"/>
      <c r="I306" s="68"/>
      <c r="J306" s="68"/>
      <c r="K306" s="68"/>
    </row>
    <row r="307" spans="1:11">
      <c r="A307" s="3"/>
      <c r="B307" s="66"/>
      <c r="C307" s="66"/>
      <c r="D307" s="66"/>
      <c r="E307" s="66"/>
      <c r="G307" s="3"/>
      <c r="H307" s="68"/>
      <c r="I307" s="68"/>
      <c r="J307" s="68"/>
      <c r="K307" s="68"/>
    </row>
    <row r="308" spans="1:11">
      <c r="A308" s="3"/>
      <c r="B308" s="66"/>
      <c r="C308" s="66"/>
      <c r="D308" s="66"/>
      <c r="E308" s="66"/>
      <c r="G308" s="3"/>
      <c r="H308" s="68"/>
      <c r="I308" s="68"/>
      <c r="J308" s="68"/>
      <c r="K308" s="68"/>
    </row>
    <row r="309" spans="1:11">
      <c r="A309" s="3"/>
      <c r="B309" s="66"/>
      <c r="C309" s="66"/>
      <c r="D309" s="66"/>
      <c r="E309" s="66"/>
      <c r="G309" s="3"/>
      <c r="H309" s="68"/>
      <c r="I309" s="68"/>
      <c r="J309" s="68"/>
      <c r="K309" s="68"/>
    </row>
    <row r="310" spans="1:11">
      <c r="A310" s="3"/>
      <c r="B310" s="66"/>
      <c r="C310" s="66"/>
      <c r="D310" s="66"/>
      <c r="E310" s="66"/>
      <c r="G310" s="3"/>
      <c r="H310" s="68"/>
      <c r="I310" s="68"/>
      <c r="J310" s="68"/>
      <c r="K310" s="68"/>
    </row>
    <row r="311" spans="1:11">
      <c r="A311" s="3"/>
      <c r="B311" s="66"/>
      <c r="C311" s="66"/>
      <c r="D311" s="66"/>
      <c r="E311" s="66"/>
      <c r="G311" s="3"/>
      <c r="H311" s="68"/>
      <c r="I311" s="68"/>
      <c r="J311" s="68"/>
      <c r="K311" s="68"/>
    </row>
    <row r="312" spans="1:11">
      <c r="A312" s="3"/>
      <c r="B312" s="66"/>
      <c r="C312" s="66"/>
      <c r="D312" s="66"/>
      <c r="E312" s="66"/>
      <c r="G312" s="3"/>
      <c r="H312" s="68"/>
      <c r="I312" s="68"/>
      <c r="J312" s="68"/>
      <c r="K312" s="68"/>
    </row>
    <row r="313" spans="1:11">
      <c r="A313" s="3"/>
      <c r="B313" s="66"/>
      <c r="C313" s="66"/>
      <c r="D313" s="66"/>
      <c r="E313" s="66"/>
      <c r="G313" s="3"/>
      <c r="H313" s="68"/>
      <c r="I313" s="68"/>
      <c r="J313" s="68"/>
      <c r="K313" s="68"/>
    </row>
    <row r="314" spans="1:11">
      <c r="A314" s="3"/>
      <c r="B314" s="66"/>
      <c r="C314" s="66"/>
      <c r="D314" s="66"/>
      <c r="E314" s="66"/>
      <c r="G314" s="3"/>
      <c r="H314" s="68"/>
      <c r="I314" s="68"/>
      <c r="J314" s="68"/>
      <c r="K314" s="68"/>
    </row>
    <row r="315" spans="1:11">
      <c r="A315" s="3"/>
      <c r="B315" s="66"/>
      <c r="C315" s="66"/>
      <c r="D315" s="66"/>
      <c r="E315" s="66"/>
      <c r="G315" s="3"/>
      <c r="H315" s="68"/>
      <c r="I315" s="68"/>
      <c r="J315" s="68"/>
      <c r="K315" s="68"/>
    </row>
    <row r="316" spans="1:11">
      <c r="A316" s="3"/>
      <c r="B316" s="66"/>
      <c r="C316" s="66"/>
      <c r="D316" s="66"/>
      <c r="E316" s="66"/>
      <c r="G316" s="3"/>
      <c r="H316" s="68"/>
      <c r="I316" s="68"/>
      <c r="J316" s="68"/>
      <c r="K316" s="68"/>
    </row>
    <row r="317" spans="1:11">
      <c r="A317" s="3"/>
      <c r="B317" s="66"/>
      <c r="C317" s="66"/>
      <c r="D317" s="66"/>
      <c r="E317" s="66"/>
      <c r="G317" s="3"/>
      <c r="H317" s="68"/>
      <c r="I317" s="68"/>
      <c r="J317" s="68"/>
      <c r="K317" s="68"/>
    </row>
    <row r="318" spans="1:11">
      <c r="A318" s="3"/>
      <c r="B318" s="66"/>
      <c r="C318" s="66"/>
      <c r="D318" s="66"/>
      <c r="E318" s="66"/>
      <c r="G318" s="3"/>
      <c r="H318" s="68"/>
      <c r="I318" s="68"/>
      <c r="J318" s="68"/>
      <c r="K318" s="68"/>
    </row>
    <row r="319" spans="1:11">
      <c r="A319" s="3"/>
      <c r="B319" s="66"/>
      <c r="C319" s="66"/>
      <c r="D319" s="66"/>
      <c r="E319" s="66"/>
      <c r="G319" s="3"/>
      <c r="H319" s="68"/>
      <c r="I319" s="68"/>
      <c r="J319" s="68"/>
      <c r="K319" s="68"/>
    </row>
    <row r="320" spans="1:11">
      <c r="A320" s="3"/>
      <c r="B320" s="66"/>
      <c r="C320" s="66"/>
      <c r="D320" s="66"/>
      <c r="E320" s="66"/>
      <c r="G320" s="3"/>
      <c r="H320" s="68"/>
      <c r="I320" s="68"/>
      <c r="J320" s="68"/>
      <c r="K320" s="68"/>
    </row>
    <row r="321" spans="1:11">
      <c r="A321" s="3"/>
      <c r="B321" s="66"/>
      <c r="C321" s="66"/>
      <c r="D321" s="66"/>
      <c r="E321" s="66"/>
      <c r="G321" s="3"/>
      <c r="H321" s="68"/>
      <c r="I321" s="68"/>
      <c r="J321" s="68"/>
      <c r="K321" s="68"/>
    </row>
    <row r="322" spans="1:11">
      <c r="A322" s="3"/>
      <c r="B322" s="66"/>
      <c r="C322" s="66"/>
      <c r="D322" s="66"/>
      <c r="E322" s="66"/>
      <c r="G322" s="3"/>
      <c r="H322" s="68"/>
      <c r="I322" s="68"/>
      <c r="J322" s="68"/>
      <c r="K322" s="68"/>
    </row>
    <row r="323" spans="1:11">
      <c r="A323" s="3"/>
      <c r="B323" s="66"/>
      <c r="C323" s="66"/>
      <c r="D323" s="66"/>
      <c r="E323" s="66"/>
      <c r="G323" s="3"/>
      <c r="H323" s="68"/>
      <c r="I323" s="68"/>
      <c r="J323" s="68"/>
      <c r="K323" s="68"/>
    </row>
    <row r="324" spans="1:11">
      <c r="A324" s="3"/>
      <c r="B324" s="66"/>
      <c r="C324" s="66"/>
      <c r="D324" s="66"/>
      <c r="E324" s="66"/>
      <c r="G324" s="3"/>
      <c r="H324" s="68"/>
      <c r="I324" s="68"/>
      <c r="J324" s="68"/>
      <c r="K324" s="68"/>
    </row>
    <row r="325" spans="1:11">
      <c r="A325" s="3"/>
      <c r="B325" s="66"/>
      <c r="C325" s="66"/>
      <c r="D325" s="66"/>
      <c r="E325" s="66"/>
      <c r="G325" s="3"/>
      <c r="H325" s="68"/>
      <c r="I325" s="68"/>
      <c r="J325" s="68"/>
      <c r="K325" s="68"/>
    </row>
    <row r="326" spans="1:11">
      <c r="A326" s="3"/>
      <c r="B326" s="66"/>
      <c r="C326" s="66"/>
      <c r="D326" s="66"/>
      <c r="E326" s="66"/>
      <c r="G326" s="3"/>
      <c r="H326" s="68"/>
      <c r="I326" s="68"/>
      <c r="J326" s="68"/>
      <c r="K326" s="68"/>
    </row>
    <row r="327" spans="1:11">
      <c r="A327" s="3"/>
      <c r="B327" s="66"/>
      <c r="C327" s="66"/>
      <c r="D327" s="66"/>
      <c r="E327" s="66"/>
      <c r="G327" s="3"/>
      <c r="H327" s="68"/>
      <c r="I327" s="68"/>
      <c r="J327" s="68"/>
      <c r="K327" s="68"/>
    </row>
    <row r="328" spans="1:11">
      <c r="A328" s="3"/>
      <c r="B328" s="66"/>
      <c r="C328" s="66"/>
      <c r="D328" s="66"/>
      <c r="E328" s="66"/>
      <c r="G328" s="3"/>
      <c r="H328" s="68"/>
      <c r="I328" s="68"/>
      <c r="J328" s="68"/>
      <c r="K328" s="68"/>
    </row>
    <row r="329" spans="1:11">
      <c r="A329" s="3"/>
      <c r="B329" s="66"/>
      <c r="C329" s="66"/>
      <c r="D329" s="66"/>
      <c r="E329" s="66"/>
      <c r="G329" s="3"/>
      <c r="H329" s="68"/>
      <c r="I329" s="68"/>
      <c r="J329" s="68"/>
      <c r="K329" s="68"/>
    </row>
    <row r="330" spans="1:11">
      <c r="A330" s="3"/>
      <c r="B330" s="66"/>
      <c r="C330" s="66"/>
      <c r="D330" s="66"/>
      <c r="E330" s="66"/>
      <c r="G330" s="3"/>
      <c r="H330" s="68"/>
      <c r="I330" s="68"/>
      <c r="J330" s="68"/>
      <c r="K330" s="68"/>
    </row>
    <row r="331" spans="1:11">
      <c r="A331" s="3"/>
      <c r="B331" s="66"/>
      <c r="C331" s="66"/>
      <c r="D331" s="66"/>
      <c r="E331" s="66"/>
      <c r="G331" s="3"/>
      <c r="H331" s="68"/>
      <c r="I331" s="68"/>
      <c r="J331" s="68"/>
      <c r="K331" s="68"/>
    </row>
    <row r="332" spans="1:11">
      <c r="A332" s="3"/>
      <c r="B332" s="66"/>
      <c r="C332" s="66"/>
      <c r="D332" s="66"/>
      <c r="E332" s="66"/>
      <c r="G332" s="3"/>
      <c r="H332" s="68"/>
      <c r="I332" s="68"/>
      <c r="J332" s="68"/>
      <c r="K332" s="68"/>
    </row>
    <row r="333" spans="1:11">
      <c r="A333" s="3"/>
      <c r="B333" s="66"/>
      <c r="C333" s="66"/>
      <c r="D333" s="66"/>
      <c r="E333" s="66"/>
      <c r="G333" s="3"/>
      <c r="H333" s="68"/>
      <c r="I333" s="68"/>
      <c r="J333" s="68"/>
      <c r="K333" s="68"/>
    </row>
    <row r="334" spans="1:11">
      <c r="A334" s="3"/>
      <c r="B334" s="66"/>
      <c r="C334" s="66"/>
      <c r="D334" s="66"/>
      <c r="E334" s="66"/>
      <c r="G334" s="3"/>
      <c r="H334" s="68"/>
      <c r="I334" s="68"/>
      <c r="J334" s="68"/>
      <c r="K334" s="68"/>
    </row>
    <row r="335" spans="1:11">
      <c r="A335" s="3"/>
      <c r="B335" s="66"/>
      <c r="C335" s="66"/>
      <c r="D335" s="66"/>
      <c r="E335" s="66"/>
      <c r="G335" s="3"/>
      <c r="H335" s="68"/>
      <c r="I335" s="68"/>
      <c r="J335" s="68"/>
      <c r="K335" s="68"/>
    </row>
    <row r="336" spans="1:11">
      <c r="A336" s="3"/>
      <c r="B336" s="66"/>
      <c r="C336" s="66"/>
      <c r="D336" s="66"/>
      <c r="E336" s="66"/>
      <c r="G336" s="3"/>
      <c r="H336" s="68"/>
      <c r="I336" s="68"/>
      <c r="J336" s="68"/>
      <c r="K336" s="68"/>
    </row>
    <row r="337" spans="1:11">
      <c r="A337" s="3"/>
      <c r="B337" s="66"/>
      <c r="C337" s="66"/>
      <c r="D337" s="66"/>
      <c r="E337" s="66"/>
      <c r="G337" s="3"/>
      <c r="H337" s="68"/>
      <c r="I337" s="68"/>
      <c r="J337" s="68"/>
      <c r="K337" s="68"/>
    </row>
    <row r="338" spans="1:11">
      <c r="A338" s="3"/>
      <c r="B338" s="66"/>
      <c r="C338" s="66"/>
      <c r="D338" s="66"/>
      <c r="E338" s="66"/>
      <c r="G338" s="3"/>
      <c r="H338" s="68"/>
      <c r="I338" s="68"/>
      <c r="J338" s="68"/>
      <c r="K338" s="68"/>
    </row>
    <row r="339" spans="1:11">
      <c r="A339" s="3"/>
      <c r="B339" s="66"/>
      <c r="C339" s="66"/>
      <c r="D339" s="66"/>
      <c r="E339" s="66"/>
      <c r="G339" s="3"/>
      <c r="H339" s="68"/>
      <c r="I339" s="68"/>
      <c r="J339" s="68"/>
      <c r="K339" s="68"/>
    </row>
    <row r="340" spans="1:11">
      <c r="A340" s="3"/>
      <c r="B340" s="66"/>
      <c r="C340" s="66"/>
      <c r="D340" s="66"/>
      <c r="E340" s="66"/>
      <c r="G340" s="3"/>
      <c r="H340" s="68"/>
      <c r="I340" s="68"/>
      <c r="J340" s="68"/>
      <c r="K340" s="68"/>
    </row>
    <row r="341" spans="1:11">
      <c r="A341" s="3"/>
      <c r="B341" s="66"/>
      <c r="C341" s="66"/>
      <c r="D341" s="66"/>
      <c r="E341" s="66"/>
      <c r="G341" s="3"/>
      <c r="H341" s="68"/>
      <c r="I341" s="68"/>
      <c r="J341" s="68"/>
      <c r="K341" s="68"/>
    </row>
    <row r="342" spans="1:11">
      <c r="A342" s="3"/>
      <c r="B342" s="66"/>
      <c r="C342" s="66"/>
      <c r="D342" s="66"/>
      <c r="E342" s="66"/>
      <c r="G342" s="3"/>
      <c r="H342" s="68"/>
      <c r="I342" s="68"/>
      <c r="J342" s="68"/>
      <c r="K342" s="68"/>
    </row>
    <row r="343" spans="1:11">
      <c r="A343" s="3"/>
      <c r="B343" s="66"/>
      <c r="C343" s="66"/>
      <c r="D343" s="66"/>
      <c r="E343" s="66"/>
      <c r="G343" s="3"/>
      <c r="H343" s="68"/>
      <c r="I343" s="68"/>
      <c r="J343" s="68"/>
      <c r="K343" s="68"/>
    </row>
    <row r="344" spans="1:11">
      <c r="A344" s="3"/>
      <c r="B344" s="66"/>
      <c r="C344" s="66"/>
      <c r="D344" s="66"/>
      <c r="E344" s="66"/>
      <c r="G344" s="3"/>
      <c r="H344" s="68"/>
      <c r="I344" s="68"/>
      <c r="J344" s="68"/>
      <c r="K344" s="68"/>
    </row>
    <row r="345" spans="1:11">
      <c r="A345" s="3"/>
      <c r="B345" s="66"/>
      <c r="C345" s="66"/>
      <c r="D345" s="66"/>
      <c r="E345" s="66"/>
      <c r="G345" s="3"/>
      <c r="H345" s="68"/>
      <c r="I345" s="68"/>
      <c r="J345" s="68"/>
      <c r="K345" s="68"/>
    </row>
    <row r="346" spans="1:11">
      <c r="A346" s="3"/>
      <c r="B346" s="66"/>
      <c r="C346" s="66"/>
      <c r="D346" s="66"/>
      <c r="E346" s="66"/>
      <c r="G346" s="3"/>
      <c r="H346" s="68"/>
      <c r="I346" s="68"/>
      <c r="J346" s="68"/>
      <c r="K346" s="68"/>
    </row>
    <row r="347" spans="1:11">
      <c r="A347" s="3"/>
      <c r="B347" s="66"/>
      <c r="C347" s="66"/>
      <c r="D347" s="66"/>
      <c r="E347" s="66"/>
      <c r="G347" s="3"/>
      <c r="H347" s="68"/>
      <c r="I347" s="68"/>
      <c r="J347" s="68"/>
      <c r="K347" s="68"/>
    </row>
    <row r="348" spans="1:11">
      <c r="A348" s="3"/>
      <c r="B348" s="66"/>
      <c r="C348" s="66"/>
      <c r="D348" s="66"/>
      <c r="E348" s="66"/>
      <c r="G348" s="3"/>
      <c r="H348" s="68"/>
      <c r="I348" s="68"/>
      <c r="J348" s="68"/>
      <c r="K348" s="68"/>
    </row>
    <row r="349" spans="1:11">
      <c r="A349" s="3"/>
      <c r="B349" s="66"/>
      <c r="C349" s="66"/>
      <c r="D349" s="66"/>
      <c r="E349" s="66"/>
      <c r="G349" s="3"/>
      <c r="H349" s="68"/>
      <c r="I349" s="68"/>
      <c r="J349" s="68"/>
      <c r="K349" s="68"/>
    </row>
    <row r="350" spans="1:11">
      <c r="A350" s="3"/>
      <c r="B350" s="66"/>
      <c r="C350" s="66"/>
      <c r="D350" s="66"/>
      <c r="E350" s="66"/>
      <c r="G350" s="3"/>
      <c r="H350" s="68"/>
      <c r="I350" s="68"/>
      <c r="J350" s="68"/>
      <c r="K350" s="68"/>
    </row>
    <row r="351" spans="1:11">
      <c r="A351" s="3"/>
      <c r="B351" s="66"/>
      <c r="C351" s="66"/>
      <c r="D351" s="66"/>
      <c r="E351" s="66"/>
      <c r="G351" s="3"/>
      <c r="H351" s="68"/>
      <c r="I351" s="68"/>
      <c r="J351" s="68"/>
      <c r="K351" s="68"/>
    </row>
    <row r="352" spans="1:11">
      <c r="A352" s="3"/>
      <c r="B352" s="66"/>
      <c r="C352" s="66"/>
      <c r="D352" s="66"/>
      <c r="E352" s="66"/>
      <c r="G352" s="3"/>
      <c r="H352" s="68"/>
      <c r="I352" s="68"/>
      <c r="J352" s="68"/>
      <c r="K352" s="68"/>
    </row>
    <row r="353" spans="1:11">
      <c r="A353" s="3"/>
      <c r="B353" s="66"/>
      <c r="C353" s="66"/>
      <c r="D353" s="66"/>
      <c r="E353" s="66"/>
      <c r="G353" s="3"/>
      <c r="H353" s="68"/>
      <c r="I353" s="68"/>
      <c r="J353" s="68"/>
      <c r="K353" s="68"/>
    </row>
    <row r="354" spans="1:11">
      <c r="A354" s="3"/>
      <c r="B354" s="66"/>
      <c r="C354" s="66"/>
      <c r="D354" s="66"/>
      <c r="E354" s="66"/>
      <c r="G354" s="3"/>
      <c r="H354" s="68"/>
      <c r="I354" s="68"/>
      <c r="J354" s="68"/>
      <c r="K354" s="68"/>
    </row>
    <row r="355" spans="1:11">
      <c r="A355" s="3"/>
      <c r="B355" s="66"/>
      <c r="C355" s="66"/>
      <c r="D355" s="66"/>
      <c r="E355" s="66"/>
      <c r="G355" s="3"/>
      <c r="H355" s="68"/>
      <c r="I355" s="68"/>
      <c r="J355" s="68"/>
      <c r="K355" s="68"/>
    </row>
    <row r="356" spans="1:11">
      <c r="A356" s="3"/>
      <c r="B356" s="66"/>
      <c r="C356" s="66"/>
      <c r="D356" s="66"/>
      <c r="E356" s="66"/>
      <c r="G356" s="3"/>
      <c r="H356" s="68"/>
      <c r="I356" s="68"/>
      <c r="J356" s="68"/>
      <c r="K356" s="68"/>
    </row>
    <row r="357" spans="1:11">
      <c r="A357" s="3"/>
      <c r="B357" s="66"/>
      <c r="C357" s="66"/>
      <c r="D357" s="66"/>
      <c r="E357" s="66"/>
      <c r="G357" s="3"/>
      <c r="H357" s="68"/>
      <c r="I357" s="68"/>
      <c r="J357" s="68"/>
      <c r="K357" s="68"/>
    </row>
    <row r="358" spans="1:11">
      <c r="A358" s="3"/>
      <c r="B358" s="66"/>
      <c r="C358" s="66"/>
      <c r="D358" s="66"/>
      <c r="E358" s="66"/>
      <c r="G358" s="3"/>
      <c r="H358" s="68"/>
      <c r="I358" s="68"/>
      <c r="J358" s="68"/>
      <c r="K358" s="68"/>
    </row>
    <row r="359" spans="1:11">
      <c r="A359" s="3"/>
      <c r="B359" s="66"/>
      <c r="C359" s="66"/>
      <c r="D359" s="66"/>
      <c r="E359" s="66"/>
      <c r="G359" s="3"/>
      <c r="H359" s="68"/>
      <c r="I359" s="68"/>
      <c r="J359" s="68"/>
      <c r="K359" s="68"/>
    </row>
    <row r="360" spans="1:11">
      <c r="A360" s="3"/>
      <c r="B360" s="66"/>
      <c r="C360" s="66"/>
      <c r="D360" s="66"/>
      <c r="E360" s="66"/>
      <c r="G360" s="3"/>
      <c r="H360" s="68"/>
      <c r="I360" s="68"/>
      <c r="J360" s="68"/>
      <c r="K360" s="68"/>
    </row>
    <row r="361" spans="1:11">
      <c r="A361" s="3"/>
      <c r="B361" s="66"/>
      <c r="C361" s="66"/>
      <c r="D361" s="66"/>
      <c r="E361" s="66"/>
      <c r="G361" s="3"/>
      <c r="H361" s="68"/>
      <c r="I361" s="68"/>
      <c r="J361" s="68"/>
      <c r="K361" s="68"/>
    </row>
    <row r="362" spans="1:11">
      <c r="A362" s="3"/>
      <c r="B362" s="66"/>
      <c r="C362" s="66"/>
      <c r="D362" s="66"/>
      <c r="E362" s="66"/>
      <c r="G362" s="3"/>
      <c r="H362" s="68"/>
      <c r="I362" s="68"/>
      <c r="J362" s="68"/>
      <c r="K362" s="68"/>
    </row>
    <row r="363" spans="1:11">
      <c r="A363" s="3"/>
      <c r="B363" s="66"/>
      <c r="C363" s="66"/>
      <c r="D363" s="66"/>
      <c r="E363" s="66"/>
      <c r="G363" s="3"/>
      <c r="H363" s="68"/>
      <c r="I363" s="68"/>
      <c r="J363" s="68"/>
      <c r="K363" s="68"/>
    </row>
    <row r="364" spans="1:11">
      <c r="A364" s="3"/>
      <c r="B364" s="66"/>
      <c r="C364" s="66"/>
      <c r="D364" s="66"/>
      <c r="E364" s="66"/>
      <c r="G364" s="3"/>
      <c r="H364" s="68"/>
      <c r="I364" s="68"/>
      <c r="J364" s="68"/>
      <c r="K364" s="68"/>
    </row>
    <row r="365" spans="1:11">
      <c r="A365" s="3"/>
      <c r="B365" s="66"/>
      <c r="C365" s="66"/>
      <c r="D365" s="66"/>
      <c r="E365" s="66"/>
      <c r="G365" s="3"/>
      <c r="H365" s="68"/>
      <c r="I365" s="68"/>
      <c r="J365" s="68"/>
      <c r="K365" s="68"/>
    </row>
    <row r="366" spans="1:11">
      <c r="A366" s="3"/>
      <c r="B366" s="66"/>
      <c r="C366" s="66"/>
      <c r="D366" s="66"/>
      <c r="E366" s="66"/>
      <c r="G366" s="3"/>
      <c r="H366" s="68"/>
      <c r="I366" s="68"/>
      <c r="J366" s="68"/>
      <c r="K366" s="68"/>
    </row>
    <row r="367" spans="1:11">
      <c r="A367" s="3"/>
      <c r="B367" s="66"/>
      <c r="C367" s="66"/>
      <c r="D367" s="66"/>
      <c r="E367" s="66"/>
      <c r="G367" s="3"/>
      <c r="H367" s="68"/>
      <c r="I367" s="68"/>
      <c r="J367" s="68"/>
      <c r="K367" s="68"/>
    </row>
    <row r="368" spans="1:11">
      <c r="A368" s="3"/>
      <c r="B368" s="66"/>
      <c r="C368" s="66"/>
      <c r="D368" s="66"/>
      <c r="E368" s="66"/>
      <c r="G368" s="3"/>
      <c r="H368" s="68"/>
      <c r="I368" s="68"/>
      <c r="J368" s="68"/>
      <c r="K368" s="68"/>
    </row>
    <row r="369" spans="1:11">
      <c r="A369" s="3"/>
      <c r="B369" s="66"/>
      <c r="C369" s="66"/>
      <c r="D369" s="66"/>
      <c r="E369" s="66"/>
      <c r="G369" s="3"/>
      <c r="H369" s="68"/>
      <c r="I369" s="68"/>
      <c r="J369" s="68"/>
      <c r="K369" s="68"/>
    </row>
    <row r="370" spans="1:11">
      <c r="A370" s="3"/>
      <c r="B370" s="66"/>
      <c r="C370" s="66"/>
      <c r="D370" s="66"/>
      <c r="E370" s="66"/>
      <c r="G370" s="3"/>
      <c r="H370" s="68"/>
      <c r="I370" s="68"/>
      <c r="J370" s="68"/>
      <c r="K370" s="68"/>
    </row>
    <row r="371" spans="1:11">
      <c r="A371" s="3"/>
      <c r="B371" s="66"/>
      <c r="C371" s="66"/>
      <c r="D371" s="66"/>
      <c r="E371" s="66"/>
      <c r="G371" s="3"/>
      <c r="H371" s="68"/>
      <c r="I371" s="68"/>
      <c r="J371" s="68"/>
      <c r="K371" s="68"/>
    </row>
    <row r="372" spans="1:11">
      <c r="A372" s="3"/>
      <c r="B372" s="66"/>
      <c r="C372" s="66"/>
      <c r="D372" s="66"/>
      <c r="E372" s="66"/>
      <c r="G372" s="3"/>
      <c r="H372" s="68"/>
      <c r="I372" s="68"/>
      <c r="J372" s="68"/>
      <c r="K372" s="68"/>
    </row>
    <row r="373" spans="1:11">
      <c r="A373" s="3"/>
      <c r="B373" s="66"/>
      <c r="C373" s="66"/>
      <c r="D373" s="66"/>
      <c r="E373" s="66"/>
      <c r="G373" s="3"/>
      <c r="H373" s="68"/>
      <c r="I373" s="68"/>
      <c r="J373" s="68"/>
      <c r="K373" s="68"/>
    </row>
    <row r="374" spans="1:11">
      <c r="A374" s="3"/>
      <c r="B374" s="66"/>
      <c r="C374" s="66"/>
      <c r="D374" s="66"/>
      <c r="E374" s="66"/>
      <c r="G374" s="3"/>
      <c r="H374" s="68"/>
      <c r="I374" s="68"/>
      <c r="J374" s="68"/>
      <c r="K374" s="68"/>
    </row>
    <row r="375" spans="1:11">
      <c r="A375" s="3"/>
      <c r="B375" s="66"/>
      <c r="C375" s="66"/>
      <c r="D375" s="66"/>
      <c r="E375" s="66"/>
      <c r="G375" s="3"/>
      <c r="H375" s="68"/>
      <c r="I375" s="68"/>
      <c r="J375" s="68"/>
      <c r="K375" s="68"/>
    </row>
    <row r="376" spans="1:11">
      <c r="A376" s="3"/>
      <c r="B376" s="66"/>
      <c r="C376" s="66"/>
      <c r="D376" s="66"/>
      <c r="E376" s="66"/>
      <c r="G376" s="3"/>
      <c r="H376" s="68"/>
      <c r="I376" s="68"/>
      <c r="J376" s="68"/>
      <c r="K376" s="68"/>
    </row>
    <row r="377" spans="1:11">
      <c r="A377" s="3"/>
      <c r="B377" s="66"/>
      <c r="C377" s="66"/>
      <c r="D377" s="66"/>
      <c r="E377" s="66"/>
      <c r="G377" s="3"/>
      <c r="H377" s="68"/>
      <c r="I377" s="68"/>
      <c r="J377" s="68"/>
      <c r="K377" s="68"/>
    </row>
    <row r="378" spans="1:11">
      <c r="A378" s="3"/>
      <c r="B378" s="66"/>
      <c r="C378" s="66"/>
      <c r="D378" s="66"/>
      <c r="E378" s="66"/>
      <c r="G378" s="3"/>
      <c r="H378" s="68"/>
      <c r="I378" s="68"/>
      <c r="J378" s="68"/>
      <c r="K378" s="68"/>
    </row>
    <row r="379" spans="1:11">
      <c r="A379" s="3"/>
      <c r="B379" s="66"/>
      <c r="C379" s="66"/>
      <c r="D379" s="66"/>
      <c r="E379" s="66"/>
      <c r="G379" s="3"/>
      <c r="H379" s="68"/>
      <c r="I379" s="68"/>
      <c r="J379" s="68"/>
      <c r="K379" s="68"/>
    </row>
    <row r="380" spans="1:11">
      <c r="A380" s="3"/>
      <c r="B380" s="66"/>
      <c r="C380" s="66"/>
      <c r="D380" s="66"/>
      <c r="E380" s="66"/>
      <c r="G380" s="3"/>
      <c r="H380" s="68"/>
      <c r="I380" s="68"/>
      <c r="J380" s="68"/>
      <c r="K380" s="68"/>
    </row>
    <row r="381" spans="1:11">
      <c r="A381" s="3"/>
      <c r="B381" s="66"/>
      <c r="C381" s="66"/>
      <c r="D381" s="66"/>
      <c r="E381" s="66"/>
      <c r="G381" s="3"/>
      <c r="H381" s="68"/>
      <c r="I381" s="68"/>
      <c r="J381" s="68"/>
      <c r="K381" s="68"/>
    </row>
    <row r="382" spans="1:11">
      <c r="A382" s="3"/>
      <c r="B382" s="66"/>
      <c r="C382" s="66"/>
      <c r="D382" s="66"/>
      <c r="E382" s="66"/>
      <c r="G382" s="3"/>
      <c r="H382" s="68"/>
      <c r="I382" s="68"/>
      <c r="J382" s="68"/>
      <c r="K382" s="68"/>
    </row>
    <row r="383" spans="1:11">
      <c r="A383" s="3"/>
      <c r="B383" s="66"/>
      <c r="C383" s="66"/>
      <c r="D383" s="66"/>
      <c r="E383" s="66"/>
      <c r="G383" s="3"/>
      <c r="H383" s="68"/>
      <c r="I383" s="68"/>
      <c r="J383" s="68"/>
      <c r="K383" s="68"/>
    </row>
    <row r="384" spans="1:11">
      <c r="A384" s="3"/>
      <c r="B384" s="66"/>
      <c r="C384" s="66"/>
      <c r="D384" s="66"/>
      <c r="E384" s="66"/>
      <c r="G384" s="3"/>
      <c r="H384" s="68"/>
      <c r="I384" s="68"/>
      <c r="J384" s="68"/>
      <c r="K384" s="68"/>
    </row>
    <row r="385" spans="1:11">
      <c r="A385" s="3"/>
      <c r="B385" s="66"/>
      <c r="C385" s="66"/>
      <c r="D385" s="66"/>
      <c r="E385" s="66"/>
      <c r="G385" s="3"/>
      <c r="H385" s="68"/>
      <c r="I385" s="68"/>
      <c r="J385" s="68"/>
      <c r="K385" s="68"/>
    </row>
    <row r="386" spans="1:11">
      <c r="A386" s="3"/>
      <c r="B386" s="66"/>
      <c r="C386" s="66"/>
      <c r="D386" s="66"/>
      <c r="E386" s="66"/>
      <c r="G386" s="3"/>
      <c r="H386" s="68"/>
      <c r="I386" s="68"/>
      <c r="J386" s="68"/>
      <c r="K386" s="68"/>
    </row>
    <row r="387" spans="1:11">
      <c r="A387" s="3"/>
      <c r="B387" s="66"/>
      <c r="C387" s="66"/>
      <c r="D387" s="66"/>
      <c r="E387" s="66"/>
      <c r="G387" s="3"/>
      <c r="H387" s="68"/>
      <c r="I387" s="68"/>
      <c r="J387" s="68"/>
      <c r="K387" s="68"/>
    </row>
    <row r="388" spans="1:11">
      <c r="A388" s="3"/>
      <c r="B388" s="66"/>
      <c r="C388" s="66"/>
      <c r="D388" s="66"/>
      <c r="E388" s="66"/>
      <c r="G388" s="3"/>
      <c r="H388" s="68"/>
      <c r="I388" s="68"/>
      <c r="J388" s="68"/>
      <c r="K388" s="68"/>
    </row>
    <row r="389" spans="1:11">
      <c r="A389" s="3"/>
      <c r="B389" s="66"/>
      <c r="C389" s="66"/>
      <c r="D389" s="66"/>
      <c r="E389" s="66"/>
      <c r="G389" s="3"/>
      <c r="H389" s="68"/>
      <c r="I389" s="68"/>
      <c r="J389" s="68"/>
      <c r="K389" s="68"/>
    </row>
    <row r="390" spans="1:11">
      <c r="A390" s="3"/>
      <c r="B390" s="66"/>
      <c r="C390" s="66"/>
      <c r="D390" s="66"/>
      <c r="E390" s="66"/>
      <c r="G390" s="3"/>
      <c r="H390" s="68"/>
      <c r="I390" s="68"/>
      <c r="J390" s="68"/>
      <c r="K390" s="68"/>
    </row>
    <row r="391" spans="1:11">
      <c r="A391" s="3"/>
      <c r="B391" s="66"/>
      <c r="C391" s="66"/>
      <c r="D391" s="66"/>
      <c r="E391" s="66"/>
      <c r="G391" s="3"/>
      <c r="H391" s="68"/>
      <c r="I391" s="68"/>
      <c r="J391" s="68"/>
      <c r="K391" s="68"/>
    </row>
    <row r="392" spans="1:11">
      <c r="A392" s="3"/>
      <c r="B392" s="66"/>
      <c r="C392" s="66"/>
      <c r="D392" s="66"/>
      <c r="E392" s="66"/>
      <c r="G392" s="3"/>
      <c r="H392" s="68"/>
      <c r="I392" s="68"/>
      <c r="J392" s="68"/>
      <c r="K392" s="68"/>
    </row>
    <row r="393" spans="1:11">
      <c r="A393" s="3"/>
      <c r="B393" s="66"/>
      <c r="C393" s="66"/>
      <c r="D393" s="66"/>
      <c r="E393" s="66"/>
      <c r="G393" s="3"/>
      <c r="H393" s="68"/>
      <c r="I393" s="68"/>
      <c r="J393" s="68"/>
      <c r="K393" s="68"/>
    </row>
    <row r="394" spans="1:11">
      <c r="A394" s="3"/>
      <c r="B394" s="66"/>
      <c r="C394" s="66"/>
      <c r="D394" s="66"/>
      <c r="E394" s="66"/>
      <c r="G394" s="3"/>
      <c r="H394" s="68"/>
      <c r="I394" s="68"/>
      <c r="J394" s="68"/>
      <c r="K394" s="68"/>
    </row>
    <row r="395" spans="1:11">
      <c r="A395" s="3"/>
      <c r="B395" s="66"/>
      <c r="C395" s="66"/>
      <c r="D395" s="66"/>
      <c r="E395" s="66"/>
      <c r="G395" s="3"/>
      <c r="H395" s="68"/>
      <c r="I395" s="68"/>
      <c r="J395" s="68"/>
      <c r="K395" s="68"/>
    </row>
    <row r="396" spans="1:11">
      <c r="A396" s="3"/>
      <c r="B396" s="66"/>
      <c r="C396" s="66"/>
      <c r="D396" s="66"/>
      <c r="E396" s="66"/>
      <c r="G396" s="3"/>
      <c r="H396" s="68"/>
      <c r="I396" s="68"/>
      <c r="J396" s="68"/>
      <c r="K396" s="68"/>
    </row>
    <row r="397" spans="1:11">
      <c r="A397" s="3"/>
      <c r="B397" s="66"/>
      <c r="C397" s="66"/>
      <c r="D397" s="66"/>
      <c r="E397" s="66"/>
      <c r="G397" s="3"/>
      <c r="H397" s="68"/>
      <c r="I397" s="68"/>
      <c r="J397" s="68"/>
      <c r="K397" s="68"/>
    </row>
    <row r="398" spans="1:11">
      <c r="A398" s="3"/>
      <c r="B398" s="66"/>
      <c r="C398" s="66"/>
      <c r="D398" s="66"/>
      <c r="E398" s="66"/>
      <c r="G398" s="3"/>
      <c r="H398" s="68"/>
      <c r="I398" s="68"/>
      <c r="J398" s="68"/>
      <c r="K398" s="68"/>
    </row>
    <row r="399" spans="1:11">
      <c r="A399" s="3"/>
      <c r="B399" s="66"/>
      <c r="C399" s="66"/>
      <c r="D399" s="66"/>
      <c r="E399" s="66"/>
      <c r="G399" s="3"/>
      <c r="H399" s="68"/>
      <c r="I399" s="68"/>
      <c r="J399" s="68"/>
      <c r="K399" s="68"/>
    </row>
    <row r="400" spans="1:11">
      <c r="A400" s="3"/>
      <c r="B400" s="66"/>
      <c r="C400" s="66"/>
      <c r="D400" s="66"/>
      <c r="E400" s="66"/>
      <c r="G400" s="3"/>
      <c r="H400" s="68"/>
      <c r="I400" s="68"/>
      <c r="J400" s="68"/>
      <c r="K400" s="68"/>
    </row>
    <row r="401" spans="1:11">
      <c r="A401" s="3"/>
      <c r="B401" s="66"/>
      <c r="C401" s="66"/>
      <c r="D401" s="66"/>
      <c r="E401" s="66"/>
      <c r="G401" s="3"/>
      <c r="H401" s="68"/>
      <c r="I401" s="68"/>
      <c r="J401" s="68"/>
      <c r="K401" s="68"/>
    </row>
    <row r="402" spans="1:11">
      <c r="A402" s="3"/>
      <c r="B402" s="66"/>
      <c r="C402" s="66"/>
      <c r="D402" s="66"/>
      <c r="E402" s="66"/>
      <c r="G402" s="3"/>
      <c r="H402" s="68"/>
      <c r="I402" s="68"/>
      <c r="J402" s="68"/>
      <c r="K402" s="68"/>
    </row>
    <row r="403" spans="1:11">
      <c r="A403" s="3"/>
      <c r="B403" s="66"/>
      <c r="C403" s="66"/>
      <c r="D403" s="66"/>
      <c r="E403" s="66"/>
      <c r="G403" s="3"/>
      <c r="H403" s="68"/>
      <c r="I403" s="68"/>
      <c r="J403" s="68"/>
      <c r="K403" s="68"/>
    </row>
    <row r="404" spans="1:11">
      <c r="A404" s="3"/>
      <c r="B404" s="66"/>
      <c r="C404" s="66"/>
      <c r="D404" s="66"/>
      <c r="E404" s="66"/>
      <c r="G404" s="3"/>
      <c r="H404" s="68"/>
      <c r="I404" s="68"/>
      <c r="J404" s="68"/>
      <c r="K404" s="68"/>
    </row>
    <row r="405" spans="1:11">
      <c r="A405" s="3"/>
      <c r="B405" s="66"/>
      <c r="C405" s="66"/>
      <c r="D405" s="66"/>
      <c r="E405" s="66"/>
      <c r="G405" s="3"/>
      <c r="H405" s="68"/>
      <c r="I405" s="68"/>
      <c r="J405" s="68"/>
      <c r="K405" s="68"/>
    </row>
    <row r="406" spans="1:11">
      <c r="A406" s="3"/>
      <c r="B406" s="66"/>
      <c r="C406" s="66"/>
      <c r="D406" s="66"/>
      <c r="E406" s="66"/>
      <c r="G406" s="3"/>
      <c r="H406" s="68"/>
      <c r="I406" s="68"/>
      <c r="J406" s="68"/>
      <c r="K406" s="68"/>
    </row>
    <row r="407" spans="1:11">
      <c r="A407" s="3"/>
      <c r="B407" s="66"/>
      <c r="C407" s="66"/>
      <c r="D407" s="66"/>
      <c r="E407" s="66"/>
      <c r="G407" s="3"/>
      <c r="H407" s="68"/>
      <c r="I407" s="68"/>
      <c r="J407" s="68"/>
      <c r="K407" s="68"/>
    </row>
    <row r="408" spans="1:11">
      <c r="A408" s="3"/>
      <c r="B408" s="66"/>
      <c r="C408" s="66"/>
      <c r="D408" s="66"/>
      <c r="E408" s="66"/>
      <c r="G408" s="3"/>
      <c r="H408" s="68"/>
      <c r="I408" s="68"/>
      <c r="J408" s="68"/>
      <c r="K408" s="68"/>
    </row>
    <row r="409" spans="1:11">
      <c r="A409" s="3"/>
      <c r="B409" s="66"/>
      <c r="C409" s="66"/>
      <c r="D409" s="66"/>
      <c r="E409" s="66"/>
      <c r="G409" s="3"/>
      <c r="H409" s="68"/>
      <c r="I409" s="68"/>
      <c r="J409" s="68"/>
      <c r="K409" s="68"/>
    </row>
    <row r="410" spans="1:11">
      <c r="A410" s="3"/>
      <c r="B410" s="66"/>
      <c r="C410" s="66"/>
      <c r="D410" s="66"/>
      <c r="E410" s="66"/>
      <c r="G410" s="3"/>
      <c r="H410" s="68"/>
      <c r="I410" s="68"/>
      <c r="J410" s="68"/>
      <c r="K410" s="68"/>
    </row>
    <row r="411" spans="1:11">
      <c r="A411" s="3"/>
      <c r="B411" s="66"/>
      <c r="C411" s="66"/>
      <c r="D411" s="66"/>
      <c r="E411" s="66"/>
      <c r="G411" s="3"/>
      <c r="H411" s="68"/>
      <c r="I411" s="68"/>
      <c r="J411" s="68"/>
      <c r="K411" s="68"/>
    </row>
    <row r="412" spans="1:11">
      <c r="A412" s="3"/>
      <c r="B412" s="66"/>
      <c r="C412" s="66"/>
      <c r="D412" s="66"/>
      <c r="E412" s="66"/>
      <c r="G412" s="3"/>
      <c r="H412" s="68"/>
      <c r="I412" s="68"/>
      <c r="J412" s="68"/>
      <c r="K412" s="68"/>
    </row>
    <row r="413" spans="1:11">
      <c r="A413" s="3"/>
      <c r="B413" s="66"/>
      <c r="C413" s="66"/>
      <c r="D413" s="66"/>
      <c r="E413" s="66"/>
      <c r="G413" s="3"/>
      <c r="H413" s="68"/>
      <c r="I413" s="68"/>
      <c r="J413" s="68"/>
      <c r="K413" s="68"/>
    </row>
    <row r="414" spans="1:11">
      <c r="A414" s="3"/>
      <c r="B414" s="66"/>
      <c r="C414" s="66"/>
      <c r="D414" s="66"/>
      <c r="E414" s="66"/>
      <c r="G414" s="3"/>
      <c r="H414" s="68"/>
      <c r="I414" s="68"/>
      <c r="J414" s="68"/>
      <c r="K414" s="68"/>
    </row>
    <row r="415" spans="1:11">
      <c r="A415" s="3"/>
      <c r="B415" s="66"/>
      <c r="C415" s="66"/>
      <c r="D415" s="66"/>
      <c r="E415" s="66"/>
      <c r="G415" s="3"/>
      <c r="H415" s="68"/>
      <c r="I415" s="68"/>
      <c r="J415" s="68"/>
      <c r="K415" s="68"/>
    </row>
    <row r="416" spans="1:11">
      <c r="A416" s="3"/>
      <c r="B416" s="66"/>
      <c r="C416" s="66"/>
      <c r="D416" s="66"/>
      <c r="E416" s="66"/>
      <c r="G416" s="3"/>
      <c r="H416" s="68"/>
      <c r="I416" s="68"/>
      <c r="J416" s="68"/>
      <c r="K416" s="68"/>
    </row>
    <row r="417" spans="1:11">
      <c r="A417" s="3"/>
      <c r="B417" s="66"/>
      <c r="C417" s="66"/>
      <c r="D417" s="66"/>
      <c r="E417" s="66"/>
      <c r="G417" s="3"/>
      <c r="H417" s="68"/>
      <c r="I417" s="68"/>
      <c r="J417" s="68"/>
      <c r="K417" s="68"/>
    </row>
    <row r="418" spans="1:11">
      <c r="A418" s="3"/>
      <c r="B418" s="66"/>
      <c r="C418" s="66"/>
      <c r="D418" s="66"/>
      <c r="E418" s="66"/>
      <c r="G418" s="3"/>
      <c r="H418" s="68"/>
      <c r="I418" s="68"/>
      <c r="J418" s="68"/>
      <c r="K418" s="68"/>
    </row>
    <row r="419" spans="1:11">
      <c r="A419" s="3"/>
      <c r="B419" s="66"/>
      <c r="C419" s="66"/>
      <c r="D419" s="66"/>
      <c r="E419" s="66"/>
      <c r="G419" s="3"/>
      <c r="H419" s="68"/>
      <c r="I419" s="68"/>
      <c r="J419" s="68"/>
      <c r="K419" s="68"/>
    </row>
    <row r="420" spans="1:11">
      <c r="A420" s="3"/>
      <c r="B420" s="66"/>
      <c r="C420" s="66"/>
      <c r="D420" s="66"/>
      <c r="E420" s="66"/>
      <c r="G420" s="3"/>
      <c r="H420" s="68"/>
      <c r="I420" s="68"/>
      <c r="J420" s="68"/>
      <c r="K420" s="68"/>
    </row>
    <row r="421" spans="1:11">
      <c r="A421" s="3"/>
      <c r="B421" s="66"/>
      <c r="C421" s="66"/>
      <c r="D421" s="66"/>
      <c r="E421" s="66"/>
      <c r="G421" s="3"/>
      <c r="H421" s="68"/>
      <c r="I421" s="68"/>
      <c r="J421" s="68"/>
      <c r="K421" s="68"/>
    </row>
    <row r="422" spans="1:11">
      <c r="A422" s="3"/>
      <c r="B422" s="66"/>
      <c r="C422" s="66"/>
      <c r="D422" s="66"/>
      <c r="E422" s="66"/>
      <c r="G422" s="3"/>
      <c r="H422" s="68"/>
      <c r="I422" s="68"/>
      <c r="J422" s="68"/>
      <c r="K422" s="68"/>
    </row>
    <row r="423" spans="1:11">
      <c r="A423" s="3"/>
      <c r="B423" s="66"/>
      <c r="C423" s="66"/>
      <c r="D423" s="66"/>
      <c r="E423" s="66"/>
      <c r="G423" s="3"/>
      <c r="H423" s="68"/>
      <c r="I423" s="68"/>
      <c r="J423" s="68"/>
      <c r="K423" s="68"/>
    </row>
    <row r="424" spans="1:11">
      <c r="A424" s="3"/>
      <c r="B424" s="66"/>
      <c r="C424" s="66"/>
      <c r="D424" s="66"/>
      <c r="E424" s="66"/>
      <c r="G424" s="3"/>
      <c r="H424" s="68"/>
      <c r="I424" s="68"/>
      <c r="J424" s="68"/>
      <c r="K424" s="68"/>
    </row>
    <row r="425" spans="1:11">
      <c r="A425" s="3"/>
      <c r="B425" s="66"/>
      <c r="C425" s="66"/>
      <c r="D425" s="66"/>
      <c r="E425" s="66"/>
      <c r="G425" s="3"/>
      <c r="H425" s="68"/>
      <c r="I425" s="68"/>
      <c r="J425" s="68"/>
      <c r="K425" s="68"/>
    </row>
    <row r="426" spans="1:11">
      <c r="A426" s="3"/>
      <c r="B426" s="66"/>
      <c r="C426" s="66"/>
      <c r="D426" s="66"/>
      <c r="E426" s="66"/>
      <c r="G426" s="3"/>
      <c r="H426" s="68"/>
      <c r="I426" s="68"/>
      <c r="J426" s="68"/>
      <c r="K426" s="68"/>
    </row>
    <row r="427" spans="1:11">
      <c r="A427" s="3"/>
      <c r="B427" s="66"/>
      <c r="C427" s="66"/>
      <c r="D427" s="66"/>
      <c r="E427" s="66"/>
      <c r="G427" s="3"/>
      <c r="H427" s="68"/>
      <c r="I427" s="68"/>
      <c r="J427" s="68"/>
      <c r="K427" s="68"/>
    </row>
    <row r="428" spans="1:11">
      <c r="A428" s="3"/>
      <c r="B428" s="66"/>
      <c r="C428" s="66"/>
      <c r="D428" s="66"/>
      <c r="E428" s="66"/>
      <c r="G428" s="3"/>
      <c r="H428" s="68"/>
      <c r="I428" s="68"/>
      <c r="J428" s="68"/>
      <c r="K428" s="68"/>
    </row>
    <row r="429" spans="1:11">
      <c r="A429" s="3"/>
      <c r="B429" s="66"/>
      <c r="C429" s="66"/>
      <c r="D429" s="66"/>
      <c r="E429" s="66"/>
      <c r="G429" s="3"/>
      <c r="H429" s="68"/>
      <c r="I429" s="68"/>
      <c r="J429" s="68"/>
      <c r="K429" s="68"/>
    </row>
    <row r="430" spans="1:11">
      <c r="A430" s="3"/>
      <c r="B430" s="66"/>
      <c r="C430" s="66"/>
      <c r="D430" s="66"/>
      <c r="E430" s="66"/>
      <c r="G430" s="3"/>
      <c r="H430" s="68"/>
      <c r="I430" s="68"/>
      <c r="J430" s="68"/>
      <c r="K430" s="68"/>
    </row>
    <row r="431" spans="1:11">
      <c r="A431" s="3"/>
      <c r="B431" s="66"/>
      <c r="C431" s="66"/>
      <c r="D431" s="66"/>
      <c r="E431" s="66"/>
      <c r="G431" s="3"/>
      <c r="H431" s="68"/>
      <c r="I431" s="68"/>
      <c r="J431" s="68"/>
      <c r="K431" s="68"/>
    </row>
    <row r="432" spans="1:11">
      <c r="A432" s="3"/>
      <c r="B432" s="66"/>
      <c r="C432" s="66"/>
      <c r="D432" s="66"/>
      <c r="E432" s="66"/>
      <c r="G432" s="3"/>
      <c r="H432" s="68"/>
      <c r="I432" s="68"/>
      <c r="J432" s="68"/>
      <c r="K432" s="68"/>
    </row>
    <row r="433" spans="1:11">
      <c r="A433" s="3"/>
      <c r="B433" s="66"/>
      <c r="C433" s="66"/>
      <c r="D433" s="66"/>
      <c r="E433" s="66"/>
      <c r="G433" s="3"/>
      <c r="H433" s="68"/>
      <c r="I433" s="68"/>
      <c r="J433" s="68"/>
      <c r="K433" s="68"/>
    </row>
    <row r="434" spans="1:11">
      <c r="A434" s="3"/>
      <c r="B434" s="66"/>
      <c r="C434" s="66"/>
      <c r="D434" s="66"/>
      <c r="E434" s="66"/>
      <c r="G434" s="3"/>
      <c r="H434" s="68"/>
      <c r="I434" s="68"/>
      <c r="J434" s="68"/>
      <c r="K434" s="68"/>
    </row>
    <row r="435" spans="1:11">
      <c r="A435" s="3"/>
      <c r="B435" s="66"/>
      <c r="C435" s="66"/>
      <c r="D435" s="66"/>
      <c r="E435" s="66"/>
      <c r="G435" s="3"/>
      <c r="H435" s="68"/>
      <c r="I435" s="68"/>
      <c r="J435" s="68"/>
      <c r="K435" s="68"/>
    </row>
    <row r="436" spans="1:11">
      <c r="A436" s="3"/>
      <c r="B436" s="66"/>
      <c r="C436" s="66"/>
      <c r="D436" s="66"/>
      <c r="E436" s="66"/>
      <c r="G436" s="3"/>
      <c r="H436" s="68"/>
      <c r="I436" s="68"/>
      <c r="J436" s="68"/>
      <c r="K436" s="68"/>
    </row>
    <row r="437" spans="1:11">
      <c r="A437" s="3"/>
      <c r="B437" s="66"/>
      <c r="C437" s="66"/>
      <c r="D437" s="66"/>
      <c r="E437" s="66"/>
      <c r="G437" s="3"/>
      <c r="H437" s="68"/>
      <c r="I437" s="68"/>
      <c r="J437" s="68"/>
      <c r="K437" s="68"/>
    </row>
    <row r="438" spans="1:11">
      <c r="A438" s="3"/>
      <c r="B438" s="66"/>
      <c r="C438" s="66"/>
      <c r="D438" s="66"/>
      <c r="E438" s="66"/>
      <c r="G438" s="3"/>
      <c r="H438" s="68"/>
      <c r="I438" s="68"/>
      <c r="J438" s="68"/>
      <c r="K438" s="68"/>
    </row>
    <row r="439" spans="1:11">
      <c r="A439" s="3"/>
      <c r="B439" s="66"/>
      <c r="C439" s="66"/>
      <c r="D439" s="66"/>
      <c r="E439" s="66"/>
      <c r="G439" s="3"/>
      <c r="H439" s="68"/>
      <c r="I439" s="68"/>
      <c r="J439" s="68"/>
      <c r="K439" s="68"/>
    </row>
    <row r="440" spans="1:11">
      <c r="A440" s="3"/>
      <c r="B440" s="66"/>
      <c r="C440" s="66"/>
      <c r="D440" s="66"/>
      <c r="E440" s="66"/>
      <c r="G440" s="3"/>
      <c r="H440" s="68"/>
      <c r="I440" s="68"/>
      <c r="J440" s="68"/>
      <c r="K440" s="68"/>
    </row>
    <row r="441" spans="1:11">
      <c r="A441" s="3"/>
      <c r="B441" s="66"/>
      <c r="C441" s="66"/>
      <c r="D441" s="66"/>
      <c r="E441" s="66"/>
      <c r="G441" s="3"/>
      <c r="H441" s="68"/>
      <c r="I441" s="68"/>
      <c r="J441" s="68"/>
      <c r="K441" s="68"/>
    </row>
    <row r="442" spans="1:11">
      <c r="A442" s="3"/>
      <c r="B442" s="66"/>
      <c r="C442" s="66"/>
      <c r="D442" s="66"/>
      <c r="E442" s="66"/>
      <c r="G442" s="3"/>
      <c r="H442" s="68"/>
      <c r="I442" s="68"/>
      <c r="J442" s="68"/>
      <c r="K442" s="68"/>
    </row>
    <row r="443" spans="1:11">
      <c r="A443" s="3"/>
      <c r="B443" s="66"/>
      <c r="C443" s="66"/>
      <c r="D443" s="66"/>
      <c r="E443" s="66"/>
      <c r="G443" s="3"/>
      <c r="H443" s="68"/>
      <c r="I443" s="68"/>
      <c r="J443" s="68"/>
      <c r="K443" s="68"/>
    </row>
    <row r="444" spans="1:11">
      <c r="A444" s="3"/>
      <c r="B444" s="66"/>
      <c r="C444" s="66"/>
      <c r="D444" s="66"/>
      <c r="E444" s="66"/>
      <c r="G444" s="3"/>
      <c r="H444" s="68"/>
      <c r="I444" s="68"/>
      <c r="J444" s="68"/>
      <c r="K444" s="68"/>
    </row>
    <row r="445" spans="1:11">
      <c r="A445" s="3"/>
      <c r="B445" s="66"/>
      <c r="C445" s="66"/>
      <c r="D445" s="66"/>
      <c r="E445" s="66"/>
      <c r="G445" s="3"/>
      <c r="H445" s="68"/>
      <c r="I445" s="68"/>
      <c r="J445" s="68"/>
      <c r="K445" s="68"/>
    </row>
    <row r="446" spans="1:11">
      <c r="A446" s="3"/>
      <c r="B446" s="66"/>
      <c r="C446" s="66"/>
      <c r="D446" s="66"/>
      <c r="E446" s="66"/>
      <c r="G446" s="3"/>
      <c r="H446" s="68"/>
      <c r="I446" s="68"/>
      <c r="J446" s="68"/>
      <c r="K446" s="68"/>
    </row>
    <row r="447" spans="1:11">
      <c r="A447" s="3"/>
      <c r="B447" s="66"/>
      <c r="C447" s="66"/>
      <c r="D447" s="66"/>
      <c r="E447" s="66"/>
      <c r="G447" s="3"/>
      <c r="H447" s="68"/>
      <c r="I447" s="68"/>
      <c r="J447" s="68"/>
      <c r="K447" s="68"/>
    </row>
    <row r="448" spans="1:11">
      <c r="A448" s="3"/>
      <c r="B448" s="66"/>
      <c r="C448" s="66"/>
      <c r="D448" s="66"/>
      <c r="E448" s="66"/>
      <c r="G448" s="3"/>
      <c r="H448" s="68"/>
      <c r="I448" s="68"/>
      <c r="J448" s="68"/>
      <c r="K448" s="68"/>
    </row>
    <row r="449" spans="1:11">
      <c r="A449" s="3"/>
      <c r="B449" s="66"/>
      <c r="C449" s="66"/>
      <c r="D449" s="66"/>
      <c r="E449" s="66"/>
      <c r="G449" s="3"/>
      <c r="H449" s="68"/>
      <c r="I449" s="68"/>
      <c r="J449" s="68"/>
      <c r="K449" s="68"/>
    </row>
    <row r="450" spans="1:11">
      <c r="A450" s="3"/>
      <c r="B450" s="66"/>
      <c r="C450" s="66"/>
      <c r="D450" s="66"/>
      <c r="E450" s="66"/>
      <c r="G450" s="3"/>
      <c r="H450" s="68"/>
      <c r="I450" s="68"/>
      <c r="J450" s="68"/>
      <c r="K450" s="68"/>
    </row>
    <row r="451" spans="1:11">
      <c r="A451" s="3"/>
      <c r="B451" s="66"/>
      <c r="C451" s="66"/>
      <c r="D451" s="66"/>
      <c r="E451" s="66"/>
      <c r="G451" s="3"/>
      <c r="H451" s="68"/>
      <c r="I451" s="68"/>
      <c r="J451" s="68"/>
      <c r="K451" s="68"/>
    </row>
    <row r="452" spans="1:11">
      <c r="A452" s="3"/>
      <c r="B452" s="66"/>
      <c r="C452" s="66"/>
      <c r="D452" s="66"/>
      <c r="E452" s="66"/>
      <c r="G452" s="3"/>
      <c r="H452" s="68"/>
      <c r="I452" s="68"/>
      <c r="J452" s="68"/>
      <c r="K452" s="68"/>
    </row>
    <row r="453" spans="1:11">
      <c r="A453" s="3"/>
      <c r="B453" s="66"/>
      <c r="C453" s="66"/>
      <c r="D453" s="66"/>
      <c r="E453" s="66"/>
      <c r="G453" s="3"/>
      <c r="H453" s="68"/>
      <c r="I453" s="68"/>
      <c r="J453" s="68"/>
      <c r="K453" s="68"/>
    </row>
    <row r="454" spans="1:11">
      <c r="A454" s="3"/>
      <c r="B454" s="66"/>
      <c r="C454" s="66"/>
      <c r="D454" s="66"/>
      <c r="E454" s="66"/>
      <c r="G454" s="3"/>
      <c r="H454" s="68"/>
      <c r="I454" s="68"/>
      <c r="J454" s="68"/>
      <c r="K454" s="68"/>
    </row>
    <row r="455" spans="1:11">
      <c r="A455" s="3"/>
      <c r="B455" s="66"/>
      <c r="C455" s="66"/>
      <c r="D455" s="66"/>
      <c r="E455" s="66"/>
      <c r="G455" s="3"/>
      <c r="H455" s="68"/>
      <c r="I455" s="68"/>
      <c r="J455" s="68"/>
      <c r="K455" s="68"/>
    </row>
    <row r="456" spans="1:11">
      <c r="A456" s="3"/>
      <c r="B456" s="66"/>
      <c r="C456" s="66"/>
      <c r="D456" s="66"/>
      <c r="E456" s="66"/>
      <c r="G456" s="3"/>
      <c r="H456" s="68"/>
      <c r="I456" s="68"/>
      <c r="J456" s="68"/>
      <c r="K456" s="68"/>
    </row>
    <row r="457" spans="1:11">
      <c r="A457" s="3"/>
      <c r="B457" s="66"/>
      <c r="C457" s="66"/>
      <c r="D457" s="66"/>
      <c r="E457" s="66"/>
      <c r="G457" s="3"/>
      <c r="H457" s="68"/>
      <c r="I457" s="68"/>
      <c r="J457" s="68"/>
      <c r="K457" s="68"/>
    </row>
    <row r="458" spans="1:11">
      <c r="A458" s="3"/>
      <c r="B458" s="66"/>
      <c r="C458" s="66"/>
      <c r="D458" s="66"/>
      <c r="E458" s="66"/>
      <c r="G458" s="3"/>
      <c r="H458" s="68"/>
      <c r="I458" s="68"/>
      <c r="J458" s="68"/>
      <c r="K458" s="68"/>
    </row>
    <row r="459" spans="1:11">
      <c r="A459" s="3"/>
      <c r="B459" s="66"/>
      <c r="C459" s="66"/>
      <c r="D459" s="66"/>
      <c r="E459" s="66"/>
      <c r="G459" s="3"/>
      <c r="H459" s="68"/>
      <c r="I459" s="68"/>
      <c r="J459" s="68"/>
      <c r="K459" s="68"/>
    </row>
    <row r="460" spans="1:11">
      <c r="A460" s="3"/>
      <c r="B460" s="66"/>
      <c r="C460" s="66"/>
      <c r="D460" s="66"/>
      <c r="E460" s="66"/>
      <c r="G460" s="3"/>
      <c r="H460" s="68"/>
      <c r="I460" s="68"/>
      <c r="J460" s="68"/>
      <c r="K460" s="68"/>
    </row>
    <row r="461" spans="1:11">
      <c r="A461" s="3"/>
      <c r="B461" s="66"/>
      <c r="C461" s="66"/>
      <c r="D461" s="66"/>
      <c r="E461" s="66"/>
      <c r="G461" s="3"/>
      <c r="H461" s="68"/>
      <c r="I461" s="68"/>
      <c r="J461" s="68"/>
      <c r="K461" s="68"/>
    </row>
    <row r="462" spans="1:11">
      <c r="A462" s="3"/>
      <c r="B462" s="66"/>
      <c r="C462" s="66"/>
      <c r="D462" s="66"/>
      <c r="E462" s="66"/>
      <c r="G462" s="3"/>
      <c r="H462" s="68"/>
      <c r="I462" s="68"/>
      <c r="J462" s="68"/>
      <c r="K462" s="68"/>
    </row>
    <row r="463" spans="1:11">
      <c r="A463" s="3"/>
      <c r="B463" s="66"/>
      <c r="C463" s="66"/>
      <c r="D463" s="66"/>
      <c r="E463" s="66"/>
      <c r="G463" s="3"/>
      <c r="H463" s="68"/>
      <c r="I463" s="68"/>
      <c r="J463" s="68"/>
      <c r="K463" s="68"/>
    </row>
    <row r="464" spans="1:11">
      <c r="A464" s="3"/>
      <c r="B464" s="66"/>
      <c r="C464" s="66"/>
      <c r="D464" s="66"/>
      <c r="E464" s="66"/>
      <c r="G464" s="3"/>
      <c r="H464" s="68"/>
      <c r="I464" s="68"/>
      <c r="J464" s="68"/>
      <c r="K464" s="68"/>
    </row>
    <row r="465" spans="1:11">
      <c r="A465" s="3"/>
      <c r="B465" s="66"/>
      <c r="C465" s="66"/>
      <c r="D465" s="66"/>
      <c r="E465" s="66"/>
      <c r="G465" s="3"/>
      <c r="H465" s="68"/>
      <c r="I465" s="68"/>
      <c r="J465" s="68"/>
      <c r="K465" s="68"/>
    </row>
    <row r="466" spans="1:11">
      <c r="A466" s="3"/>
      <c r="B466" s="66"/>
      <c r="C466" s="66"/>
      <c r="D466" s="66"/>
      <c r="E466" s="66"/>
      <c r="G466" s="3"/>
      <c r="H466" s="68"/>
      <c r="I466" s="68"/>
      <c r="J466" s="68"/>
      <c r="K466" s="68"/>
    </row>
    <row r="467" spans="1:11">
      <c r="A467" s="3"/>
      <c r="B467" s="66"/>
      <c r="C467" s="66"/>
      <c r="D467" s="66"/>
      <c r="E467" s="66"/>
      <c r="G467" s="3"/>
      <c r="H467" s="68"/>
      <c r="I467" s="68"/>
      <c r="J467" s="68"/>
      <c r="K467" s="68"/>
    </row>
    <row r="468" spans="1:11">
      <c r="A468" s="3"/>
      <c r="B468" s="66"/>
      <c r="C468" s="66"/>
      <c r="D468" s="66"/>
      <c r="E468" s="66"/>
      <c r="G468" s="3"/>
      <c r="H468" s="68"/>
      <c r="I468" s="68"/>
      <c r="J468" s="68"/>
      <c r="K468" s="68"/>
    </row>
    <row r="469" spans="1:11">
      <c r="A469" s="3"/>
      <c r="B469" s="66"/>
      <c r="C469" s="66"/>
      <c r="D469" s="66"/>
      <c r="E469" s="66"/>
      <c r="G469" s="3"/>
      <c r="H469" s="68"/>
      <c r="I469" s="68"/>
      <c r="J469" s="68"/>
      <c r="K469" s="68"/>
    </row>
    <row r="470" spans="1:11">
      <c r="A470" s="3"/>
      <c r="B470" s="66"/>
      <c r="C470" s="66"/>
      <c r="D470" s="66"/>
      <c r="E470" s="66"/>
      <c r="G470" s="3"/>
      <c r="H470" s="68"/>
      <c r="I470" s="68"/>
      <c r="J470" s="68"/>
      <c r="K470" s="68"/>
    </row>
    <row r="471" spans="1:11">
      <c r="A471" s="3"/>
      <c r="B471" s="66"/>
      <c r="C471" s="66"/>
      <c r="D471" s="66"/>
      <c r="E471" s="66"/>
      <c r="G471" s="3"/>
      <c r="H471" s="68"/>
      <c r="I471" s="68"/>
      <c r="J471" s="68"/>
      <c r="K471" s="68"/>
    </row>
    <row r="472" spans="1:11">
      <c r="A472" s="3"/>
      <c r="B472" s="66"/>
      <c r="C472" s="66"/>
      <c r="D472" s="66"/>
      <c r="E472" s="66"/>
      <c r="G472" s="3"/>
      <c r="H472" s="68"/>
      <c r="I472" s="68"/>
      <c r="J472" s="68"/>
      <c r="K472" s="68"/>
    </row>
    <row r="473" spans="1:11">
      <c r="A473" s="3"/>
      <c r="B473" s="66"/>
      <c r="C473" s="66"/>
      <c r="D473" s="66"/>
      <c r="E473" s="66"/>
      <c r="G473" s="3"/>
      <c r="H473" s="68"/>
      <c r="I473" s="68"/>
      <c r="J473" s="68"/>
      <c r="K473" s="68"/>
    </row>
    <row r="474" spans="1:11">
      <c r="A474" s="3"/>
      <c r="B474" s="66"/>
      <c r="C474" s="66"/>
      <c r="D474" s="66"/>
      <c r="E474" s="66"/>
      <c r="G474" s="3"/>
      <c r="H474" s="68"/>
      <c r="I474" s="68"/>
      <c r="J474" s="68"/>
      <c r="K474" s="68"/>
    </row>
    <row r="475" spans="1:11">
      <c r="A475" s="3"/>
      <c r="B475" s="66"/>
      <c r="C475" s="66"/>
      <c r="D475" s="66"/>
      <c r="E475" s="66"/>
      <c r="G475" s="3"/>
      <c r="H475" s="68"/>
      <c r="I475" s="68"/>
      <c r="J475" s="68"/>
      <c r="K475" s="68"/>
    </row>
    <row r="476" spans="1:11">
      <c r="A476" s="3"/>
      <c r="B476" s="66"/>
      <c r="C476" s="66"/>
      <c r="D476" s="66"/>
      <c r="E476" s="66"/>
      <c r="G476" s="3"/>
      <c r="H476" s="68"/>
      <c r="I476" s="68"/>
      <c r="J476" s="68"/>
      <c r="K476" s="68"/>
    </row>
    <row r="477" spans="1:11">
      <c r="A477" s="3"/>
      <c r="B477" s="66"/>
      <c r="C477" s="66"/>
      <c r="D477" s="66"/>
      <c r="E477" s="66"/>
      <c r="G477" s="3"/>
      <c r="H477" s="68"/>
      <c r="I477" s="68"/>
      <c r="J477" s="68"/>
      <c r="K477" s="68"/>
    </row>
    <row r="478" spans="1:11">
      <c r="A478" s="3"/>
      <c r="B478" s="66"/>
      <c r="C478" s="66"/>
      <c r="D478" s="66"/>
      <c r="E478" s="66"/>
      <c r="G478" s="3"/>
      <c r="H478" s="68"/>
      <c r="I478" s="68"/>
      <c r="J478" s="68"/>
      <c r="K478" s="68"/>
    </row>
    <row r="479" spans="1:11">
      <c r="A479" s="3"/>
      <c r="B479" s="66"/>
      <c r="C479" s="66"/>
      <c r="D479" s="66"/>
      <c r="E479" s="66"/>
      <c r="G479" s="3"/>
      <c r="H479" s="68"/>
      <c r="I479" s="68"/>
      <c r="J479" s="68"/>
      <c r="K479" s="68"/>
    </row>
    <row r="480" spans="1:11">
      <c r="A480" s="3"/>
      <c r="B480" s="66"/>
      <c r="C480" s="66"/>
      <c r="D480" s="66"/>
      <c r="E480" s="66"/>
      <c r="G480" s="3"/>
      <c r="H480" s="68"/>
      <c r="I480" s="68"/>
      <c r="J480" s="68"/>
      <c r="K480" s="68"/>
    </row>
    <row r="481" spans="1:11">
      <c r="A481" s="3"/>
      <c r="B481" s="66"/>
      <c r="C481" s="66"/>
      <c r="D481" s="66"/>
      <c r="E481" s="66"/>
      <c r="G481" s="3"/>
      <c r="H481" s="68"/>
      <c r="I481" s="68"/>
      <c r="J481" s="68"/>
      <c r="K481" s="68"/>
    </row>
    <row r="482" spans="1:11">
      <c r="A482" s="3"/>
      <c r="B482" s="66"/>
      <c r="C482" s="66"/>
      <c r="D482" s="66"/>
      <c r="E482" s="66"/>
      <c r="G482" s="3"/>
      <c r="H482" s="68"/>
      <c r="I482" s="68"/>
      <c r="J482" s="68"/>
      <c r="K482" s="68"/>
    </row>
    <row r="483" spans="1:11">
      <c r="A483" s="3"/>
      <c r="B483" s="66"/>
      <c r="C483" s="66"/>
      <c r="D483" s="66"/>
      <c r="E483" s="66"/>
      <c r="G483" s="3"/>
      <c r="H483" s="68"/>
      <c r="I483" s="68"/>
      <c r="J483" s="68"/>
      <c r="K483" s="68"/>
    </row>
    <row r="484" spans="1:11">
      <c r="A484" s="3"/>
      <c r="B484" s="66"/>
      <c r="C484" s="66"/>
      <c r="D484" s="66"/>
      <c r="E484" s="66"/>
      <c r="G484" s="3"/>
      <c r="H484" s="68"/>
      <c r="I484" s="68"/>
      <c r="J484" s="68"/>
      <c r="K484" s="68"/>
    </row>
    <row r="485" spans="1:11">
      <c r="A485" s="3"/>
      <c r="B485" s="66"/>
      <c r="C485" s="66"/>
      <c r="D485" s="66"/>
      <c r="E485" s="66"/>
      <c r="G485" s="3"/>
      <c r="H485" s="68"/>
      <c r="I485" s="68"/>
      <c r="J485" s="68"/>
      <c r="K485" s="68"/>
    </row>
    <row r="486" spans="1:11">
      <c r="A486" s="3"/>
      <c r="B486" s="66"/>
      <c r="C486" s="66"/>
      <c r="D486" s="66"/>
      <c r="E486" s="66"/>
      <c r="G486" s="3"/>
      <c r="H486" s="68"/>
      <c r="I486" s="68"/>
      <c r="J486" s="68"/>
      <c r="K486" s="68"/>
    </row>
    <row r="487" spans="1:11">
      <c r="A487" s="3"/>
      <c r="B487" s="66"/>
      <c r="C487" s="66"/>
      <c r="D487" s="66"/>
      <c r="E487" s="66"/>
      <c r="G487" s="3"/>
      <c r="H487" s="68"/>
      <c r="I487" s="68"/>
      <c r="J487" s="68"/>
      <c r="K487" s="68"/>
    </row>
    <row r="488" spans="1:11">
      <c r="A488" s="3"/>
      <c r="B488" s="66"/>
      <c r="C488" s="66"/>
      <c r="D488" s="66"/>
      <c r="E488" s="66"/>
      <c r="G488" s="3"/>
      <c r="H488" s="68"/>
      <c r="I488" s="68"/>
      <c r="J488" s="68"/>
      <c r="K488" s="68"/>
    </row>
    <row r="489" spans="1:11">
      <c r="A489" s="3"/>
      <c r="B489" s="66"/>
      <c r="C489" s="66"/>
      <c r="D489" s="66"/>
      <c r="E489" s="66"/>
      <c r="G489" s="3"/>
      <c r="H489" s="68"/>
      <c r="I489" s="68"/>
      <c r="J489" s="68"/>
      <c r="K489" s="68"/>
    </row>
    <row r="490" spans="1:11">
      <c r="A490" s="3"/>
      <c r="B490" s="66"/>
      <c r="C490" s="66"/>
      <c r="D490" s="66"/>
      <c r="E490" s="66"/>
      <c r="G490" s="3"/>
      <c r="H490" s="68"/>
      <c r="I490" s="68"/>
      <c r="J490" s="68"/>
      <c r="K490" s="68"/>
    </row>
    <row r="491" spans="1:11">
      <c r="A491" s="3"/>
      <c r="B491" s="66"/>
      <c r="C491" s="66"/>
      <c r="D491" s="66"/>
      <c r="E491" s="66"/>
      <c r="G491" s="3"/>
      <c r="H491" s="68"/>
      <c r="I491" s="68"/>
      <c r="J491" s="68"/>
      <c r="K491" s="68"/>
    </row>
    <row r="492" spans="1:11">
      <c r="A492" s="3"/>
      <c r="B492" s="66"/>
      <c r="C492" s="66"/>
      <c r="D492" s="66"/>
      <c r="E492" s="66"/>
      <c r="G492" s="3"/>
      <c r="H492" s="68"/>
      <c r="I492" s="68"/>
      <c r="J492" s="68"/>
      <c r="K492" s="68"/>
    </row>
    <row r="493" spans="1:11">
      <c r="A493" s="3"/>
      <c r="B493" s="66"/>
      <c r="C493" s="66"/>
      <c r="D493" s="66"/>
      <c r="E493" s="66"/>
      <c r="G493" s="3"/>
      <c r="H493" s="68"/>
      <c r="I493" s="68"/>
      <c r="J493" s="68"/>
      <c r="K493" s="68"/>
    </row>
    <row r="494" spans="1:11">
      <c r="A494" s="3"/>
      <c r="B494" s="66"/>
      <c r="C494" s="66"/>
      <c r="D494" s="66"/>
      <c r="E494" s="66"/>
      <c r="G494" s="3"/>
      <c r="H494" s="68"/>
      <c r="I494" s="68"/>
      <c r="J494" s="68"/>
      <c r="K494" s="68"/>
    </row>
    <row r="495" spans="1:11">
      <c r="A495" s="3"/>
      <c r="B495" s="66"/>
      <c r="C495" s="66"/>
      <c r="D495" s="66"/>
      <c r="E495" s="66"/>
      <c r="G495" s="3"/>
      <c r="H495" s="68"/>
      <c r="I495" s="68"/>
      <c r="J495" s="68"/>
      <c r="K495" s="68"/>
    </row>
    <row r="496" spans="1:11">
      <c r="A496" s="3"/>
      <c r="B496" s="66"/>
      <c r="C496" s="66"/>
      <c r="D496" s="66"/>
      <c r="E496" s="66"/>
      <c r="G496" s="3"/>
      <c r="H496" s="68"/>
      <c r="I496" s="68"/>
      <c r="J496" s="68"/>
      <c r="K496" s="68"/>
    </row>
    <row r="497" spans="1:11">
      <c r="A497" s="3"/>
      <c r="B497" s="66"/>
      <c r="C497" s="66"/>
      <c r="D497" s="66"/>
      <c r="E497" s="66"/>
      <c r="G497" s="3"/>
      <c r="H497" s="68"/>
      <c r="I497" s="68"/>
      <c r="J497" s="68"/>
      <c r="K497" s="68"/>
    </row>
    <row r="498" spans="1:11">
      <c r="A498" s="3"/>
      <c r="B498" s="66"/>
      <c r="C498" s="66"/>
      <c r="D498" s="66"/>
      <c r="E498" s="66"/>
      <c r="G498" s="3"/>
      <c r="H498" s="68"/>
      <c r="I498" s="68"/>
      <c r="J498" s="68"/>
      <c r="K498" s="68"/>
    </row>
    <row r="499" spans="1:11">
      <c r="A499" s="3"/>
      <c r="B499" s="66"/>
      <c r="C499" s="66"/>
      <c r="D499" s="66"/>
      <c r="E499" s="66"/>
      <c r="G499" s="3"/>
      <c r="H499" s="68"/>
      <c r="I499" s="68"/>
      <c r="J499" s="68"/>
      <c r="K499" s="68"/>
    </row>
    <row r="500" spans="1:11">
      <c r="A500" s="3"/>
      <c r="C500" s="66"/>
      <c r="D500" s="66"/>
      <c r="E500" s="66"/>
      <c r="G500" s="3"/>
      <c r="H500" s="68"/>
      <c r="I500" s="68"/>
      <c r="J500" s="68"/>
      <c r="K500" s="68"/>
    </row>
  </sheetData>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87"/>
  <sheetViews>
    <sheetView workbookViewId="0">
      <selection activeCell="C3" sqref="C3"/>
    </sheetView>
  </sheetViews>
  <sheetFormatPr defaultColWidth="9.07352941176471" defaultRowHeight="15" customHeight="1"/>
  <cols>
    <col min="1" max="1" width="24" style="31" customWidth="1"/>
    <col min="2" max="3" width="16.1397058823529" style="31" customWidth="1"/>
    <col min="4" max="4" width="22" style="31" customWidth="1"/>
    <col min="5" max="5" width="14.4632352941176" style="31" customWidth="1"/>
    <col min="7" max="7" width="24" customWidth="1"/>
    <col min="8" max="9" width="9.66911764705882" customWidth="1"/>
    <col min="10" max="10" width="13" customWidth="1"/>
    <col min="11" max="11" width="11" customWidth="1"/>
  </cols>
  <sheetData>
    <row r="1" ht="19.5" customHeight="1" spans="1:11">
      <c r="A1" s="32" t="s">
        <v>6</v>
      </c>
      <c r="B1" s="33" t="str">
        <f>基本信息!B1</f>
        <v>最新一期</v>
      </c>
      <c r="C1" s="34" t="str">
        <f>基本信息!C1</f>
        <v>20xx年</v>
      </c>
      <c r="D1" s="34" t="str">
        <f>基本信息!D1</f>
        <v>20xx年</v>
      </c>
      <c r="E1" s="34" t="str">
        <f>基本信息!E1</f>
        <v>20xx年</v>
      </c>
      <c r="G1" s="35" t="s">
        <v>7</v>
      </c>
      <c r="H1" s="36" t="str">
        <f>B1</f>
        <v>最新一期</v>
      </c>
      <c r="I1" s="36" t="str">
        <f>C1</f>
        <v>20xx年</v>
      </c>
      <c r="J1" s="36" t="str">
        <f>D1</f>
        <v>20xx年</v>
      </c>
      <c r="K1" s="36" t="str">
        <f>E1</f>
        <v>20xx年</v>
      </c>
    </row>
    <row r="2" ht="13.5" customHeight="1" spans="1:11">
      <c r="A2" s="37" t="s">
        <v>171</v>
      </c>
      <c r="B2" s="38">
        <f>利润表!B11</f>
        <v>0</v>
      </c>
      <c r="C2" s="38">
        <f>利润表!C11</f>
        <v>0</v>
      </c>
      <c r="D2" s="38">
        <f>利润表!D11</f>
        <v>0</v>
      </c>
      <c r="E2" s="38">
        <f>利润表!E11</f>
        <v>0</v>
      </c>
      <c r="F2" s="39"/>
      <c r="G2" s="40" t="s">
        <v>171</v>
      </c>
      <c r="H2" s="38">
        <f>B2/10000</f>
        <v>0</v>
      </c>
      <c r="I2" s="38">
        <f>C2/10000</f>
        <v>0</v>
      </c>
      <c r="J2" s="38">
        <f>D2/10000</f>
        <v>0</v>
      </c>
      <c r="K2" s="38">
        <f>E2/10000</f>
        <v>0</v>
      </c>
    </row>
    <row r="3" ht="13.5" customHeight="1" spans="1:11">
      <c r="A3" s="37" t="s">
        <v>172</v>
      </c>
      <c r="B3" s="41"/>
      <c r="C3" s="41"/>
      <c r="D3" s="41"/>
      <c r="E3" s="38"/>
      <c r="F3" s="39"/>
      <c r="G3" s="40" t="s">
        <v>172</v>
      </c>
      <c r="H3" s="38">
        <f>B3/10000</f>
        <v>0</v>
      </c>
      <c r="I3" s="38">
        <f>C3/10000</f>
        <v>0</v>
      </c>
      <c r="J3" s="38">
        <f>D3/10000</f>
        <v>0</v>
      </c>
      <c r="K3" s="41">
        <f>E3/10000</f>
        <v>0</v>
      </c>
    </row>
    <row r="4" ht="13.5" customHeight="1" spans="1:11">
      <c r="A4" s="37" t="s">
        <v>173</v>
      </c>
      <c r="B4" s="42">
        <f>B2+B3</f>
        <v>0</v>
      </c>
      <c r="C4" s="42">
        <f>C2+C3</f>
        <v>0</v>
      </c>
      <c r="D4" s="42">
        <f>D2+D3</f>
        <v>0</v>
      </c>
      <c r="E4" s="42">
        <f>E2+E3</f>
        <v>0</v>
      </c>
      <c r="F4" s="39"/>
      <c r="G4" s="40" t="s">
        <v>173</v>
      </c>
      <c r="H4" s="42">
        <f>H2+H3</f>
        <v>0</v>
      </c>
      <c r="I4" s="42">
        <f>I2+I3</f>
        <v>0</v>
      </c>
      <c r="J4" s="42">
        <f>J2+J3</f>
        <v>0</v>
      </c>
      <c r="K4" s="43">
        <f>K2+K3</f>
        <v>0</v>
      </c>
    </row>
    <row r="5" ht="13.5" customHeight="1" spans="1:11">
      <c r="A5" s="37" t="s">
        <v>174</v>
      </c>
      <c r="B5" s="38"/>
      <c r="C5" s="38"/>
      <c r="D5" s="41"/>
      <c r="E5" s="38"/>
      <c r="F5" s="39"/>
      <c r="G5" s="40" t="s">
        <v>174</v>
      </c>
      <c r="H5" s="38">
        <f>B5/10000</f>
        <v>0</v>
      </c>
      <c r="I5" s="38">
        <f>C5/10000</f>
        <v>0</v>
      </c>
      <c r="J5" s="38">
        <f>D5/10000</f>
        <v>0</v>
      </c>
      <c r="K5" s="38">
        <f>E5/10000</f>
        <v>0</v>
      </c>
    </row>
    <row r="6" ht="13.5" customHeight="1" spans="1:11">
      <c r="A6" s="37" t="s">
        <v>175</v>
      </c>
      <c r="B6" s="38"/>
      <c r="C6" s="38"/>
      <c r="D6" s="41"/>
      <c r="E6" s="38"/>
      <c r="F6" s="39"/>
      <c r="G6" s="40" t="s">
        <v>175</v>
      </c>
      <c r="H6" s="38">
        <f>B6/10000</f>
        <v>0</v>
      </c>
      <c r="I6" s="38">
        <f>C6/10000</f>
        <v>0</v>
      </c>
      <c r="J6" s="38">
        <f>D6/10000</f>
        <v>0</v>
      </c>
      <c r="K6" s="38">
        <f>E6/10000</f>
        <v>0</v>
      </c>
    </row>
    <row r="7" ht="14.25" customHeight="1" spans="1:11">
      <c r="A7" s="37" t="s">
        <v>176</v>
      </c>
      <c r="B7" s="38"/>
      <c r="C7" s="38"/>
      <c r="D7" s="41"/>
      <c r="E7" s="38"/>
      <c r="F7" s="39"/>
      <c r="G7" s="40" t="s">
        <v>176</v>
      </c>
      <c r="H7" s="38">
        <f>B7/10000</f>
        <v>0</v>
      </c>
      <c r="I7" s="38">
        <f>C7/10000</f>
        <v>0</v>
      </c>
      <c r="J7" s="38">
        <f>D7/10000</f>
        <v>0</v>
      </c>
      <c r="K7" s="38">
        <f>E7/10000</f>
        <v>0</v>
      </c>
    </row>
    <row r="8" ht="14.25" customHeight="1" spans="1:11">
      <c r="A8" s="44" t="s">
        <v>177</v>
      </c>
      <c r="B8" s="38"/>
      <c r="C8" s="38"/>
      <c r="D8" s="41"/>
      <c r="E8" s="38"/>
      <c r="F8" s="39"/>
      <c r="G8" s="45" t="s">
        <v>177</v>
      </c>
      <c r="H8" s="38">
        <f>B8/10000</f>
        <v>0</v>
      </c>
      <c r="I8" s="38">
        <f>C8/10000</f>
        <v>0</v>
      </c>
      <c r="J8" s="38">
        <f>D8/10000</f>
        <v>0</v>
      </c>
      <c r="K8" s="38">
        <f>E8/10000</f>
        <v>0</v>
      </c>
    </row>
    <row r="9" ht="14.25" customHeight="1" spans="1:11">
      <c r="A9" s="46" t="s">
        <v>178</v>
      </c>
      <c r="B9" s="47"/>
      <c r="C9" s="47"/>
      <c r="D9" s="48"/>
      <c r="E9" s="47"/>
      <c r="F9" s="39"/>
      <c r="G9" s="49" t="s">
        <v>178</v>
      </c>
      <c r="H9" s="50">
        <f>B9/10000</f>
        <v>0</v>
      </c>
      <c r="I9" s="50">
        <f>C9/10000</f>
        <v>0</v>
      </c>
      <c r="J9" s="50">
        <f>D9/10000</f>
        <v>0</v>
      </c>
      <c r="K9" s="50">
        <f>E9/10000</f>
        <v>0</v>
      </c>
    </row>
    <row r="10" ht="13.5" customHeight="1" spans="1:11">
      <c r="A10" s="3"/>
      <c r="B10" s="3"/>
      <c r="C10" s="3"/>
      <c r="D10" s="3"/>
      <c r="E10" s="3"/>
    </row>
    <row r="11" ht="13.5" customHeight="1" spans="1:11">
      <c r="A11" s="3"/>
      <c r="B11" s="3"/>
      <c r="C11" s="3"/>
      <c r="D11" s="3"/>
      <c r="E11" s="3"/>
    </row>
    <row r="12" ht="13.5" customHeight="1" spans="1:11">
      <c r="A12" s="3"/>
      <c r="B12" s="3"/>
      <c r="C12" s="3"/>
      <c r="D12" s="3"/>
      <c r="E12" s="3"/>
    </row>
    <row r="13" ht="13.5" customHeight="1" spans="1:11">
      <c r="A13" s="3"/>
      <c r="B13" s="3"/>
      <c r="C13" s="3"/>
      <c r="D13" s="3"/>
      <c r="E13" s="3"/>
    </row>
    <row r="14" ht="13.5" customHeight="1" spans="1:11">
      <c r="A14" s="3"/>
      <c r="B14" s="3"/>
      <c r="C14" s="3"/>
      <c r="D14" s="3"/>
      <c r="E14" s="3"/>
    </row>
    <row r="15" ht="13.5" customHeight="1" spans="1:11">
      <c r="A15" s="3"/>
      <c r="B15" s="3"/>
      <c r="C15" s="3"/>
      <c r="D15" s="3"/>
      <c r="E15" s="3"/>
    </row>
    <row r="16" ht="13.5" customHeight="1" spans="1:11">
      <c r="A16" s="3"/>
      <c r="B16" s="3"/>
      <c r="C16" s="3"/>
      <c r="D16" s="3"/>
      <c r="E16" s="3"/>
    </row>
    <row r="17" ht="13.5" customHeight="1" spans="1:5">
      <c r="A17" s="3"/>
      <c r="B17" s="3"/>
      <c r="C17" s="3"/>
      <c r="D17" s="3"/>
      <c r="E17" s="3"/>
    </row>
    <row r="18" ht="13.5" customHeight="1" spans="1:5">
      <c r="A18" s="3"/>
      <c r="B18" s="3"/>
      <c r="C18" s="3"/>
      <c r="D18" s="3"/>
      <c r="E18" s="3"/>
    </row>
    <row r="19" ht="13.5" customHeight="1" spans="1:5">
      <c r="A19" s="3"/>
      <c r="B19" s="3"/>
      <c r="C19" s="3"/>
      <c r="D19" s="3"/>
      <c r="E19" s="3"/>
    </row>
    <row r="20" ht="13.5" customHeight="1" spans="1:5">
      <c r="A20" s="3"/>
      <c r="B20" s="3"/>
      <c r="C20" s="3"/>
      <c r="D20" s="3"/>
      <c r="E20" s="3"/>
    </row>
    <row r="21" ht="13.5" customHeight="1" spans="1:5">
      <c r="A21" s="3"/>
      <c r="B21" s="3"/>
      <c r="C21" s="3"/>
      <c r="D21" s="3"/>
      <c r="E21" s="3"/>
    </row>
    <row r="22" ht="13.5" customHeight="1" spans="1:5">
      <c r="A22" s="3"/>
      <c r="B22" s="3"/>
      <c r="C22" s="3"/>
      <c r="D22" s="3"/>
      <c r="E22" s="3"/>
    </row>
    <row r="23" ht="13.5" customHeight="1" spans="1:5">
      <c r="A23" s="3"/>
      <c r="B23" s="3"/>
      <c r="C23" s="3"/>
      <c r="D23" s="3"/>
      <c r="E23" s="3"/>
    </row>
    <row r="24" ht="13.5" customHeight="1" spans="1:5">
      <c r="A24" s="3"/>
      <c r="B24" s="3"/>
      <c r="C24" s="3"/>
      <c r="D24" s="3"/>
      <c r="E24" s="3"/>
    </row>
    <row r="25" ht="13.5" customHeight="1" spans="1:5">
      <c r="A25" s="3"/>
      <c r="B25" s="3"/>
      <c r="C25" s="3"/>
      <c r="D25" s="3"/>
      <c r="E25" s="3"/>
    </row>
    <row r="26" ht="13.5" customHeight="1" spans="1:5">
      <c r="A26" s="3"/>
      <c r="B26" s="3"/>
      <c r="C26" s="3"/>
      <c r="D26" s="3"/>
      <c r="E26" s="3"/>
    </row>
    <row r="27" ht="13.5" customHeight="1" spans="1:5">
      <c r="A27" s="3"/>
      <c r="B27" s="3"/>
      <c r="C27" s="3"/>
      <c r="D27" s="3"/>
      <c r="E27" s="3"/>
    </row>
    <row r="28" ht="13.5" customHeight="1" spans="1:5">
      <c r="A28" s="3"/>
      <c r="B28" s="3"/>
      <c r="C28" s="3"/>
      <c r="D28" s="3"/>
      <c r="E28" s="3"/>
    </row>
    <row r="29" ht="13.5" customHeight="1" spans="1:5">
      <c r="A29" s="3"/>
      <c r="B29" s="3"/>
      <c r="C29" s="3"/>
      <c r="D29" s="3"/>
      <c r="E29" s="3"/>
    </row>
    <row r="30" ht="13.5" customHeight="1" spans="1:5">
      <c r="A30" s="3"/>
      <c r="B30" s="3"/>
      <c r="C30" s="3"/>
      <c r="D30" s="3"/>
      <c r="E30" s="3"/>
    </row>
    <row r="31" ht="13.5" customHeight="1" spans="1:5">
      <c r="A31" s="3"/>
      <c r="B31" s="3"/>
      <c r="C31" s="3"/>
      <c r="D31" s="3"/>
      <c r="E31" s="3"/>
    </row>
    <row r="32" ht="13.5" customHeight="1" spans="1:5">
      <c r="A32" s="3"/>
      <c r="B32" s="3"/>
      <c r="C32" s="3"/>
      <c r="D32" s="3"/>
      <c r="E32" s="3"/>
    </row>
    <row r="33" ht="13.5" customHeight="1" spans="1:5">
      <c r="A33" s="3"/>
      <c r="B33" s="3"/>
      <c r="C33" s="3"/>
      <c r="D33" s="3"/>
      <c r="E33" s="3"/>
    </row>
    <row r="34" ht="13.5" customHeight="1" spans="1:5">
      <c r="A34" s="3"/>
      <c r="B34" s="3"/>
      <c r="C34" s="3"/>
      <c r="D34" s="3"/>
      <c r="E34" s="3"/>
    </row>
    <row r="35" ht="13.5" customHeight="1" spans="1:5">
      <c r="A35" s="3"/>
      <c r="B35" s="3"/>
      <c r="C35" s="3"/>
      <c r="D35" s="3"/>
      <c r="E35" s="3"/>
    </row>
    <row r="36" ht="13.5" customHeight="1" spans="1:5">
      <c r="A36" s="3"/>
      <c r="B36" s="3"/>
      <c r="C36" s="3"/>
      <c r="D36" s="3"/>
      <c r="E36" s="3"/>
    </row>
    <row r="37" ht="13.5" customHeight="1" spans="1:5">
      <c r="A37" s="3"/>
      <c r="B37" s="3"/>
      <c r="C37" s="3"/>
      <c r="D37" s="3"/>
      <c r="E37" s="3"/>
    </row>
    <row r="38" ht="13.5" customHeight="1" spans="1:5">
      <c r="A38" s="3"/>
      <c r="B38" s="3"/>
      <c r="C38" s="3"/>
      <c r="D38" s="3"/>
      <c r="E38" s="3"/>
    </row>
    <row r="39" ht="13.5" customHeight="1" spans="1:5">
      <c r="A39" s="3"/>
      <c r="B39" s="3"/>
      <c r="C39" s="3"/>
      <c r="D39" s="3"/>
      <c r="E39" s="3"/>
    </row>
    <row r="40" ht="13.5" customHeight="1" spans="1:5">
      <c r="A40" s="3"/>
      <c r="B40" s="3"/>
      <c r="C40" s="3"/>
      <c r="D40" s="3"/>
      <c r="E40" s="3"/>
    </row>
    <row r="41" ht="13.5" customHeight="1" spans="1:5">
      <c r="A41" s="3"/>
      <c r="B41" s="3"/>
      <c r="C41" s="3"/>
      <c r="D41" s="3"/>
      <c r="E41" s="3"/>
    </row>
    <row r="42" ht="13.5" customHeight="1" spans="1:5">
      <c r="A42" s="3"/>
      <c r="B42" s="3"/>
      <c r="C42" s="3"/>
      <c r="D42" s="3"/>
      <c r="E42" s="3"/>
    </row>
    <row r="43" ht="13.5" customHeight="1" spans="1:5">
      <c r="A43" s="3"/>
      <c r="B43" s="3"/>
      <c r="C43" s="3"/>
      <c r="D43" s="3"/>
      <c r="E43" s="3"/>
    </row>
    <row r="44" ht="13.5" customHeight="1" spans="1:5">
      <c r="A44" s="3"/>
      <c r="B44" s="3"/>
      <c r="C44" s="3"/>
      <c r="D44" s="3"/>
      <c r="E44" s="3"/>
    </row>
    <row r="45" ht="13.5" customHeight="1" spans="1:5">
      <c r="A45" s="3"/>
      <c r="B45" s="3"/>
      <c r="C45" s="3"/>
      <c r="D45" s="3"/>
      <c r="E45" s="3"/>
    </row>
    <row r="46" ht="13.5" customHeight="1" spans="1:5">
      <c r="A46" s="3"/>
      <c r="B46" s="3"/>
      <c r="C46" s="3"/>
      <c r="D46" s="3"/>
      <c r="E46" s="3"/>
    </row>
    <row r="47" ht="13.5" customHeight="1" spans="1:5">
      <c r="A47" s="3"/>
      <c r="B47" s="3"/>
      <c r="C47" s="3"/>
      <c r="D47" s="3"/>
      <c r="E47" s="3"/>
    </row>
    <row r="48" ht="13.5" customHeight="1" spans="1:5">
      <c r="A48" s="3"/>
      <c r="B48" s="3"/>
      <c r="C48" s="3"/>
      <c r="D48" s="3"/>
      <c r="E48" s="3"/>
    </row>
    <row r="49" ht="13.5" customHeight="1" spans="1:5">
      <c r="A49" s="3"/>
      <c r="B49" s="3"/>
      <c r="C49" s="3"/>
      <c r="D49" s="3"/>
      <c r="E49" s="3"/>
    </row>
    <row r="50" ht="13.5" customHeight="1" spans="1:5">
      <c r="A50" s="3"/>
      <c r="B50" s="3"/>
      <c r="C50" s="3"/>
      <c r="D50" s="3"/>
      <c r="E50" s="3"/>
    </row>
    <row r="51" ht="13.5" customHeight="1" spans="1:5">
      <c r="A51" s="3"/>
      <c r="B51" s="3"/>
      <c r="C51" s="3"/>
      <c r="D51" s="3"/>
      <c r="E51" s="3"/>
    </row>
    <row r="52" ht="13.5" customHeight="1" spans="1:5">
      <c r="A52" s="3"/>
      <c r="B52" s="3"/>
      <c r="C52" s="3"/>
      <c r="D52" s="3"/>
      <c r="E52" s="3"/>
    </row>
    <row r="53" ht="13.5" customHeight="1" spans="1:5">
      <c r="A53" s="3"/>
      <c r="B53" s="3"/>
      <c r="C53" s="3"/>
      <c r="D53" s="3"/>
      <c r="E53" s="3"/>
    </row>
    <row r="54" ht="13.5" customHeight="1" spans="1:5">
      <c r="A54" s="3"/>
      <c r="B54" s="3"/>
      <c r="C54" s="3"/>
      <c r="D54" s="3"/>
      <c r="E54" s="3"/>
    </row>
    <row r="55" ht="13.5" customHeight="1" spans="1:5">
      <c r="A55" s="3"/>
      <c r="B55" s="3"/>
      <c r="C55" s="3"/>
      <c r="D55" s="3"/>
      <c r="E55" s="3"/>
    </row>
    <row r="56" ht="13.5" customHeight="1" spans="1:5">
      <c r="A56" s="3"/>
      <c r="B56" s="3"/>
      <c r="C56" s="3"/>
      <c r="D56" s="3"/>
      <c r="E56" s="3"/>
    </row>
    <row r="57" ht="13.5" customHeight="1" spans="1:5">
      <c r="A57" s="3"/>
      <c r="B57" s="3"/>
      <c r="C57" s="3"/>
      <c r="D57" s="3"/>
      <c r="E57" s="3"/>
    </row>
    <row r="58" ht="13.5" customHeight="1" spans="1:5">
      <c r="A58" s="3"/>
      <c r="B58" s="3"/>
      <c r="C58" s="3"/>
      <c r="D58" s="3"/>
      <c r="E58" s="3"/>
    </row>
    <row r="59" ht="13.5" customHeight="1" spans="1:5">
      <c r="A59" s="3"/>
      <c r="B59" s="3"/>
      <c r="C59" s="3"/>
      <c r="D59" s="3"/>
      <c r="E59" s="3"/>
    </row>
    <row r="60" ht="13.5" customHeight="1" spans="1:5">
      <c r="A60" s="3"/>
      <c r="B60" s="3"/>
      <c r="C60" s="3"/>
      <c r="D60" s="3"/>
      <c r="E60" s="3"/>
    </row>
    <row r="61" ht="13.5" customHeight="1" spans="1:5">
      <c r="A61" s="3"/>
      <c r="B61" s="3"/>
      <c r="C61" s="3"/>
      <c r="D61" s="3"/>
      <c r="E61" s="3"/>
    </row>
    <row r="62" ht="13.5" customHeight="1" spans="1:5">
      <c r="A62" s="3"/>
      <c r="B62" s="3"/>
      <c r="C62" s="3"/>
      <c r="D62" s="3"/>
      <c r="E62" s="3"/>
    </row>
    <row r="63" ht="13.5" customHeight="1" spans="1:5">
      <c r="A63" s="3"/>
      <c r="B63" s="3"/>
      <c r="C63" s="3"/>
      <c r="D63" s="3"/>
      <c r="E63" s="3"/>
    </row>
    <row r="64" ht="13.5" customHeight="1" spans="1:5">
      <c r="A64" s="3"/>
      <c r="B64" s="3"/>
      <c r="C64" s="3"/>
      <c r="D64" s="3"/>
      <c r="E64" s="3"/>
    </row>
    <row r="65" ht="13.5" customHeight="1" spans="1:5">
      <c r="A65" s="3"/>
      <c r="B65" s="3"/>
      <c r="C65" s="3"/>
      <c r="D65" s="3"/>
      <c r="E65" s="3"/>
    </row>
    <row r="66" ht="13.5" customHeight="1" spans="1:5">
      <c r="A66" s="3"/>
      <c r="B66" s="3"/>
      <c r="C66" s="3"/>
      <c r="D66" s="3"/>
      <c r="E66" s="3"/>
    </row>
    <row r="67" ht="13.5" customHeight="1" spans="1:5">
      <c r="A67" s="3"/>
      <c r="B67" s="3"/>
      <c r="C67" s="3"/>
      <c r="D67" s="3"/>
      <c r="E67" s="3"/>
    </row>
    <row r="68" ht="13.5" customHeight="1" spans="1:5">
      <c r="A68" s="3"/>
      <c r="B68" s="3"/>
      <c r="C68" s="3"/>
      <c r="D68" s="3"/>
      <c r="E68" s="3"/>
    </row>
    <row r="69" ht="13.5" customHeight="1" spans="1:5">
      <c r="A69" s="3"/>
      <c r="B69" s="3"/>
      <c r="C69" s="3"/>
      <c r="D69" s="3"/>
      <c r="E69" s="3"/>
    </row>
    <row r="70" ht="13.5" customHeight="1" spans="1:5">
      <c r="A70" s="3"/>
      <c r="B70" s="3"/>
      <c r="C70" s="3"/>
      <c r="D70" s="3"/>
      <c r="E70" s="3"/>
    </row>
    <row r="71" ht="13.5" customHeight="1" spans="1:5">
      <c r="A71" s="3"/>
      <c r="B71" s="3"/>
      <c r="C71" s="3"/>
      <c r="D71" s="3"/>
      <c r="E71" s="3"/>
    </row>
    <row r="72" ht="13.5" customHeight="1" spans="1:5">
      <c r="A72" s="3"/>
      <c r="B72" s="3"/>
      <c r="C72" s="3"/>
      <c r="D72" s="3"/>
      <c r="E72" s="3"/>
    </row>
    <row r="73" ht="13.5" customHeight="1" spans="1:5">
      <c r="A73" s="3"/>
      <c r="B73" s="3"/>
      <c r="C73" s="3"/>
      <c r="D73" s="3"/>
      <c r="E73" s="3"/>
    </row>
    <row r="74" ht="13.5" customHeight="1" spans="1:5">
      <c r="A74" s="3"/>
      <c r="B74" s="3"/>
      <c r="C74" s="3"/>
      <c r="D74" s="3"/>
      <c r="E74" s="3"/>
    </row>
    <row r="75" ht="13.5" customHeight="1" spans="1:5">
      <c r="A75" s="3"/>
      <c r="B75" s="3"/>
      <c r="C75" s="3"/>
      <c r="D75" s="3"/>
      <c r="E75" s="3"/>
    </row>
    <row r="76" ht="13.5" customHeight="1" spans="1:5">
      <c r="A76" s="3"/>
      <c r="B76" s="3"/>
      <c r="C76" s="3"/>
      <c r="D76" s="3"/>
      <c r="E76" s="3"/>
    </row>
    <row r="77" ht="13.5" customHeight="1" spans="1:5">
      <c r="A77" s="3"/>
      <c r="B77" s="3"/>
      <c r="C77" s="3"/>
      <c r="D77" s="3"/>
      <c r="E77" s="3"/>
    </row>
    <row r="78" ht="13.5" customHeight="1" spans="1:5">
      <c r="A78" s="3"/>
      <c r="B78" s="3"/>
      <c r="C78" s="3"/>
      <c r="D78" s="3"/>
      <c r="E78" s="3"/>
    </row>
    <row r="79" ht="13.5" customHeight="1" spans="1:5">
      <c r="A79" s="3"/>
      <c r="B79" s="3"/>
      <c r="C79" s="3"/>
      <c r="D79" s="3"/>
      <c r="E79" s="3"/>
    </row>
    <row r="80" ht="13.5" customHeight="1" spans="1:5">
      <c r="A80" s="3"/>
      <c r="B80" s="3"/>
      <c r="C80" s="3"/>
      <c r="D80" s="3"/>
      <c r="E80" s="3"/>
    </row>
    <row r="81" ht="13.5" customHeight="1" spans="1:5">
      <c r="A81" s="3"/>
      <c r="B81" s="3"/>
      <c r="C81" s="3"/>
      <c r="D81" s="3"/>
      <c r="E81" s="3"/>
    </row>
    <row r="82" ht="13.5" customHeight="1" spans="1:5">
      <c r="A82" s="3"/>
      <c r="B82" s="3"/>
      <c r="C82" s="3"/>
      <c r="D82" s="3"/>
      <c r="E82" s="3"/>
    </row>
    <row r="83" ht="13.5" customHeight="1" spans="1:5">
      <c r="A83" s="3"/>
      <c r="B83" s="3"/>
      <c r="C83" s="3"/>
      <c r="D83" s="3"/>
      <c r="E83" s="3"/>
    </row>
    <row r="84" ht="13.5" customHeight="1" spans="1:5">
      <c r="A84" s="3"/>
      <c r="B84" s="3"/>
      <c r="C84" s="3"/>
      <c r="D84" s="3"/>
      <c r="E84" s="3"/>
    </row>
    <row r="85" ht="13.5" customHeight="1" spans="1:5">
      <c r="A85" s="3"/>
      <c r="B85" s="3"/>
      <c r="C85" s="3"/>
      <c r="D85" s="3"/>
      <c r="E85" s="3"/>
    </row>
    <row r="86" ht="13.5" customHeight="1" spans="1:5">
      <c r="A86" s="3"/>
      <c r="B86" s="3"/>
      <c r="C86" s="3"/>
      <c r="D86" s="3"/>
      <c r="E86" s="3"/>
    </row>
    <row r="87" ht="13.5" customHeight="1" spans="1:5">
      <c r="A87" s="3"/>
      <c r="B87" s="3"/>
      <c r="C87" s="3"/>
      <c r="D87" s="3"/>
      <c r="E87" s="3"/>
    </row>
    <row r="88" ht="13.5" customHeight="1" spans="1:5">
      <c r="A88" s="3"/>
      <c r="B88" s="3"/>
      <c r="C88" s="3"/>
      <c r="D88" s="3"/>
      <c r="E88" s="3"/>
    </row>
    <row r="89" ht="13.5" customHeight="1" spans="1:5">
      <c r="A89" s="3"/>
      <c r="B89" s="3"/>
      <c r="C89" s="3"/>
      <c r="D89" s="3"/>
      <c r="E89" s="3"/>
    </row>
    <row r="90" ht="13.5" customHeight="1" spans="1:5">
      <c r="A90" s="3"/>
      <c r="B90" s="3"/>
      <c r="C90" s="3"/>
      <c r="D90" s="3"/>
      <c r="E90" s="3"/>
    </row>
    <row r="91" ht="13.5" customHeight="1" spans="1:5">
      <c r="A91" s="3"/>
      <c r="B91" s="3"/>
      <c r="C91" s="3"/>
      <c r="D91" s="3"/>
      <c r="E91" s="3"/>
    </row>
    <row r="92" ht="13.5" customHeight="1" spans="1:5">
      <c r="A92" s="3"/>
      <c r="B92" s="3"/>
      <c r="C92" s="3"/>
      <c r="D92" s="3"/>
      <c r="E92" s="3"/>
    </row>
    <row r="93" ht="13.5" customHeight="1" spans="1:5">
      <c r="A93" s="3"/>
      <c r="B93" s="3"/>
      <c r="C93" s="3"/>
      <c r="D93" s="3"/>
      <c r="E93" s="3"/>
    </row>
    <row r="94" ht="13.5" customHeight="1" spans="1:5">
      <c r="A94" s="3"/>
      <c r="B94" s="3"/>
      <c r="C94" s="3"/>
      <c r="D94" s="3"/>
      <c r="E94" s="3"/>
    </row>
    <row r="95" ht="13.5" customHeight="1" spans="1:5">
      <c r="A95" s="3"/>
      <c r="B95" s="3"/>
      <c r="C95" s="3"/>
      <c r="D95" s="3"/>
      <c r="E95" s="3"/>
    </row>
    <row r="96" ht="13.5" customHeight="1" spans="1:5">
      <c r="A96" s="3"/>
      <c r="B96" s="3"/>
      <c r="C96" s="3"/>
      <c r="D96" s="3"/>
      <c r="E96" s="3"/>
    </row>
    <row r="97" ht="13.5" customHeight="1" spans="1:5">
      <c r="A97" s="3"/>
      <c r="B97" s="3"/>
      <c r="C97" s="3"/>
      <c r="D97" s="3"/>
      <c r="E97" s="3"/>
    </row>
    <row r="98" ht="13.5" customHeight="1" spans="1:5">
      <c r="A98" s="3"/>
      <c r="B98" s="3"/>
      <c r="C98" s="3"/>
      <c r="D98" s="3"/>
      <c r="E98" s="3"/>
    </row>
    <row r="99" ht="13.5" customHeight="1" spans="1:5">
      <c r="A99" s="3"/>
      <c r="B99" s="3"/>
      <c r="C99" s="3"/>
      <c r="D99" s="3"/>
      <c r="E99" s="3"/>
    </row>
    <row r="100" ht="13.5" customHeight="1" spans="1:5">
      <c r="A100" s="3"/>
      <c r="B100" s="3"/>
      <c r="C100" s="3"/>
      <c r="D100" s="3"/>
      <c r="E100" s="3"/>
    </row>
    <row r="101" ht="13.5" customHeight="1" spans="1:5">
      <c r="A101" s="3"/>
      <c r="B101" s="3"/>
      <c r="C101" s="3"/>
      <c r="D101" s="3"/>
      <c r="E101" s="3"/>
    </row>
    <row r="102" ht="13.5" customHeight="1" spans="1:5">
      <c r="A102" s="3"/>
      <c r="B102" s="3"/>
      <c r="C102" s="3"/>
      <c r="D102" s="3"/>
      <c r="E102" s="3"/>
    </row>
    <row r="103" ht="13.5" customHeight="1" spans="1:5">
      <c r="A103" s="3"/>
      <c r="B103" s="3"/>
      <c r="C103" s="3"/>
      <c r="D103" s="3"/>
      <c r="E103" s="3"/>
    </row>
    <row r="104" ht="13.5" customHeight="1" spans="1:5">
      <c r="A104" s="3"/>
      <c r="B104" s="3"/>
      <c r="C104" s="3"/>
      <c r="D104" s="3"/>
      <c r="E104" s="3"/>
    </row>
    <row r="105" ht="13.5" customHeight="1" spans="1:5">
      <c r="A105" s="3"/>
      <c r="B105" s="3"/>
      <c r="C105" s="3"/>
      <c r="D105" s="3"/>
      <c r="E105" s="3"/>
    </row>
    <row r="106" ht="13.5" customHeight="1" spans="1:5">
      <c r="A106" s="3"/>
      <c r="B106" s="3"/>
      <c r="C106" s="3"/>
      <c r="D106" s="3"/>
      <c r="E106" s="3"/>
    </row>
    <row r="107" ht="13.5" customHeight="1" spans="1:5">
      <c r="A107" s="3"/>
      <c r="B107" s="3"/>
      <c r="C107" s="3"/>
      <c r="D107" s="3"/>
      <c r="E107" s="3"/>
    </row>
    <row r="108" ht="13.5" customHeight="1" spans="1:5">
      <c r="A108" s="3"/>
      <c r="B108" s="3"/>
      <c r="C108" s="3"/>
      <c r="D108" s="3"/>
      <c r="E108" s="3"/>
    </row>
    <row r="109" ht="13.5" customHeight="1" spans="1:5">
      <c r="A109" s="3"/>
      <c r="B109" s="3"/>
      <c r="C109" s="3"/>
      <c r="D109" s="3"/>
      <c r="E109" s="3"/>
    </row>
    <row r="110" ht="13.5" customHeight="1" spans="1:5">
      <c r="A110" s="3"/>
      <c r="B110" s="3"/>
      <c r="C110" s="3"/>
      <c r="D110" s="3"/>
      <c r="E110" s="3"/>
    </row>
    <row r="111" ht="13.5" customHeight="1" spans="1:5">
      <c r="A111" s="3"/>
      <c r="B111" s="3"/>
      <c r="C111" s="3"/>
      <c r="D111" s="3"/>
      <c r="E111" s="3"/>
    </row>
    <row r="112" ht="13.5" customHeight="1" spans="1:5">
      <c r="A112" s="3"/>
      <c r="B112" s="3"/>
      <c r="C112" s="3"/>
      <c r="D112" s="3"/>
      <c r="E112" s="3"/>
    </row>
    <row r="113" ht="13.5" customHeight="1" spans="1:5">
      <c r="A113" s="3"/>
      <c r="B113" s="3"/>
      <c r="C113" s="3"/>
      <c r="D113" s="3"/>
      <c r="E113" s="3"/>
    </row>
    <row r="114" ht="13.5" customHeight="1" spans="1:5">
      <c r="A114" s="3"/>
      <c r="B114" s="3"/>
      <c r="C114" s="3"/>
      <c r="D114" s="3"/>
      <c r="E114" s="3"/>
    </row>
    <row r="115" ht="13.5" customHeight="1" spans="1:5">
      <c r="A115" s="3"/>
      <c r="B115" s="3"/>
      <c r="C115" s="3"/>
      <c r="D115" s="3"/>
      <c r="E115" s="3"/>
    </row>
    <row r="116" ht="13.5" customHeight="1" spans="1:5">
      <c r="A116" s="3"/>
      <c r="B116" s="3"/>
      <c r="C116" s="3"/>
      <c r="D116" s="3"/>
      <c r="E116" s="3"/>
    </row>
    <row r="117" ht="13.5" customHeight="1" spans="1:5">
      <c r="A117" s="3"/>
      <c r="B117" s="3"/>
      <c r="C117" s="3"/>
      <c r="D117" s="3"/>
      <c r="E117" s="3"/>
    </row>
    <row r="118" ht="13.5" customHeight="1" spans="1:5">
      <c r="A118" s="3"/>
      <c r="B118" s="3"/>
      <c r="C118" s="3"/>
      <c r="D118" s="3"/>
      <c r="E118" s="3"/>
    </row>
    <row r="119" ht="13.5" customHeight="1" spans="1:5">
      <c r="A119" s="3"/>
      <c r="B119" s="3"/>
      <c r="C119" s="3"/>
      <c r="D119" s="3"/>
      <c r="E119" s="3"/>
    </row>
    <row r="120" ht="13.5" customHeight="1" spans="1:5">
      <c r="A120" s="3"/>
      <c r="B120" s="3"/>
      <c r="C120" s="3"/>
      <c r="D120" s="3"/>
      <c r="E120" s="3"/>
    </row>
    <row r="121" ht="13.5" customHeight="1" spans="1:5">
      <c r="A121" s="3"/>
      <c r="B121" s="3"/>
      <c r="C121" s="3"/>
      <c r="D121" s="3"/>
      <c r="E121" s="3"/>
    </row>
    <row r="122" ht="13.5" customHeight="1" spans="1:5">
      <c r="A122" s="3"/>
      <c r="B122" s="3"/>
      <c r="C122" s="3"/>
      <c r="D122" s="3"/>
      <c r="E122" s="3"/>
    </row>
    <row r="123" ht="13.5" customHeight="1" spans="1:5">
      <c r="A123" s="3"/>
      <c r="B123" s="3"/>
      <c r="C123" s="3"/>
      <c r="D123" s="3"/>
      <c r="E123" s="3"/>
    </row>
    <row r="124" ht="13.5" customHeight="1" spans="1:5">
      <c r="A124" s="3"/>
      <c r="B124" s="3"/>
      <c r="C124" s="3"/>
      <c r="D124" s="3"/>
      <c r="E124" s="3"/>
    </row>
    <row r="125" ht="13.5" customHeight="1" spans="1:5">
      <c r="A125" s="3"/>
      <c r="B125" s="3"/>
      <c r="C125" s="3"/>
      <c r="D125" s="3"/>
      <c r="E125" s="3"/>
    </row>
    <row r="126" ht="13.5" customHeight="1" spans="1:5">
      <c r="A126" s="3"/>
      <c r="B126" s="3"/>
      <c r="C126" s="3"/>
      <c r="D126" s="3"/>
      <c r="E126" s="3"/>
    </row>
    <row r="127" ht="13.5" customHeight="1" spans="1:5">
      <c r="A127" s="3"/>
      <c r="B127" s="3"/>
      <c r="C127" s="3"/>
      <c r="D127" s="3"/>
      <c r="E127" s="3"/>
    </row>
    <row r="128" ht="13.5" customHeight="1" spans="1:5">
      <c r="A128" s="3"/>
      <c r="B128" s="3"/>
      <c r="C128" s="3"/>
      <c r="D128" s="3"/>
      <c r="E128" s="3"/>
    </row>
    <row r="129" ht="13.5" customHeight="1" spans="1:5">
      <c r="A129" s="3"/>
      <c r="B129" s="3"/>
      <c r="C129" s="3"/>
      <c r="D129" s="3"/>
      <c r="E129" s="3"/>
    </row>
    <row r="130" ht="13.5" customHeight="1" spans="1:5">
      <c r="A130" s="3"/>
      <c r="B130" s="3"/>
      <c r="C130" s="3"/>
      <c r="D130" s="3"/>
      <c r="E130" s="3"/>
    </row>
    <row r="131" ht="13.5" customHeight="1" spans="1:5">
      <c r="A131" s="3"/>
      <c r="B131" s="3"/>
      <c r="C131" s="3"/>
      <c r="D131" s="3"/>
      <c r="E131" s="3"/>
    </row>
    <row r="132" ht="13.5" customHeight="1" spans="1:5">
      <c r="A132" s="3"/>
      <c r="B132" s="3"/>
      <c r="C132" s="3"/>
      <c r="D132" s="3"/>
      <c r="E132" s="3"/>
    </row>
    <row r="133" ht="13.5" customHeight="1" spans="1:5">
      <c r="A133" s="3"/>
      <c r="B133" s="3"/>
      <c r="C133" s="3"/>
      <c r="D133" s="3"/>
      <c r="E133" s="3"/>
    </row>
    <row r="134" ht="13.5" customHeight="1" spans="1:5">
      <c r="A134" s="3"/>
      <c r="B134" s="3"/>
      <c r="C134" s="3"/>
      <c r="D134" s="3"/>
      <c r="E134" s="3"/>
    </row>
    <row r="135" ht="13.5" customHeight="1" spans="1:5">
      <c r="A135" s="3"/>
      <c r="B135" s="3"/>
      <c r="C135" s="3"/>
      <c r="D135" s="3"/>
      <c r="E135" s="3"/>
    </row>
    <row r="136" ht="13.5" customHeight="1" spans="1:5">
      <c r="A136" s="3"/>
      <c r="B136" s="3"/>
      <c r="C136" s="3"/>
      <c r="D136" s="3"/>
      <c r="E136" s="3"/>
    </row>
    <row r="137" ht="13.5" customHeight="1" spans="1:5">
      <c r="A137" s="3"/>
      <c r="B137" s="3"/>
      <c r="C137" s="3"/>
      <c r="D137" s="3"/>
      <c r="E137" s="3"/>
    </row>
    <row r="138" ht="13.5" customHeight="1" spans="1:5">
      <c r="A138" s="3"/>
      <c r="B138" s="3"/>
      <c r="C138" s="3"/>
      <c r="D138" s="3"/>
      <c r="E138" s="3"/>
    </row>
    <row r="139" ht="13.5" customHeight="1" spans="1:5">
      <c r="A139" s="3"/>
      <c r="B139" s="3"/>
      <c r="C139" s="3"/>
      <c r="D139" s="3"/>
      <c r="E139" s="3"/>
    </row>
    <row r="140" ht="13.5" customHeight="1" spans="1:5">
      <c r="A140" s="3"/>
      <c r="B140" s="3"/>
      <c r="C140" s="3"/>
      <c r="D140" s="3"/>
      <c r="E140" s="3"/>
    </row>
    <row r="141" ht="13.5" customHeight="1" spans="1:5">
      <c r="A141" s="3"/>
      <c r="B141" s="3"/>
      <c r="C141" s="3"/>
      <c r="D141" s="3"/>
      <c r="E141" s="3"/>
    </row>
    <row r="142" ht="13.5" customHeight="1" spans="1:5">
      <c r="A142" s="3"/>
      <c r="B142" s="3"/>
      <c r="C142" s="3"/>
      <c r="D142" s="3"/>
      <c r="E142" s="3"/>
    </row>
    <row r="143" ht="13.5" customHeight="1" spans="1:5">
      <c r="A143" s="3"/>
      <c r="B143" s="3"/>
      <c r="C143" s="3"/>
      <c r="D143" s="3"/>
      <c r="E143" s="3"/>
    </row>
    <row r="144" ht="13.5" customHeight="1" spans="1:5">
      <c r="A144" s="3"/>
      <c r="B144" s="3"/>
      <c r="C144" s="3"/>
      <c r="D144" s="3"/>
      <c r="E144" s="3"/>
    </row>
    <row r="145" ht="13.5" customHeight="1" spans="1:5">
      <c r="A145" s="3"/>
      <c r="B145" s="3"/>
      <c r="C145" s="3"/>
      <c r="D145" s="3"/>
      <c r="E145" s="3"/>
    </row>
    <row r="146" ht="13.5" customHeight="1" spans="1:5">
      <c r="A146" s="3"/>
      <c r="B146" s="3"/>
      <c r="C146" s="3"/>
      <c r="D146" s="3"/>
      <c r="E146" s="3"/>
    </row>
    <row r="147" ht="13.5" customHeight="1" spans="1:5">
      <c r="A147" s="3"/>
      <c r="B147" s="3"/>
      <c r="C147" s="3"/>
      <c r="D147" s="3"/>
      <c r="E147" s="3"/>
    </row>
    <row r="148" ht="13.5" customHeight="1" spans="1:5">
      <c r="A148" s="3"/>
      <c r="B148" s="3"/>
      <c r="C148" s="3"/>
      <c r="D148" s="3"/>
      <c r="E148" s="3"/>
    </row>
    <row r="149" ht="13.5" customHeight="1" spans="1:5">
      <c r="A149" s="3"/>
      <c r="B149" s="3"/>
      <c r="C149" s="3"/>
      <c r="D149" s="3"/>
      <c r="E149" s="3"/>
    </row>
    <row r="150" ht="13.5" customHeight="1" spans="1:5">
      <c r="A150" s="3"/>
      <c r="B150" s="3"/>
      <c r="C150" s="3"/>
      <c r="D150" s="3"/>
      <c r="E150" s="3"/>
    </row>
    <row r="151" ht="13.5" customHeight="1" spans="1:5">
      <c r="A151" s="3"/>
      <c r="B151" s="3"/>
      <c r="C151" s="3"/>
      <c r="D151" s="3"/>
      <c r="E151" s="3"/>
    </row>
    <row r="152" ht="13.5" customHeight="1" spans="1:5">
      <c r="A152" s="3"/>
      <c r="B152" s="3"/>
      <c r="C152" s="3"/>
      <c r="D152" s="3"/>
      <c r="E152" s="3"/>
    </row>
    <row r="153" ht="13.5" customHeight="1" spans="1:5">
      <c r="A153" s="3"/>
      <c r="B153" s="3"/>
      <c r="C153" s="3"/>
      <c r="D153" s="3"/>
      <c r="E153" s="3"/>
    </row>
    <row r="154" ht="13.5" customHeight="1" spans="1:5">
      <c r="A154" s="3"/>
      <c r="B154" s="3"/>
      <c r="C154" s="3"/>
      <c r="D154" s="3"/>
      <c r="E154" s="3"/>
    </row>
    <row r="155" ht="13.5" customHeight="1" spans="1:5">
      <c r="A155" s="3"/>
      <c r="B155" s="3"/>
      <c r="C155" s="3"/>
      <c r="D155" s="3"/>
      <c r="E155" s="3"/>
    </row>
    <row r="156" ht="13.5" customHeight="1" spans="1:5">
      <c r="A156" s="3"/>
      <c r="B156" s="3"/>
      <c r="C156" s="3"/>
      <c r="D156" s="3"/>
      <c r="E156" s="3"/>
    </row>
    <row r="157" ht="13.5" customHeight="1" spans="1:5">
      <c r="A157" s="3"/>
      <c r="B157" s="3"/>
      <c r="C157" s="3"/>
      <c r="D157" s="3"/>
      <c r="E157" s="3"/>
    </row>
    <row r="158" ht="13.5" customHeight="1" spans="1:5">
      <c r="A158" s="3"/>
      <c r="B158" s="3"/>
      <c r="C158" s="3"/>
      <c r="D158" s="3"/>
      <c r="E158" s="3"/>
    </row>
    <row r="159" ht="13.5" customHeight="1" spans="1:5">
      <c r="A159" s="3"/>
      <c r="B159" s="3"/>
      <c r="C159" s="3"/>
      <c r="D159" s="3"/>
      <c r="E159" s="3"/>
    </row>
    <row r="160" ht="13.5" customHeight="1" spans="1:5">
      <c r="A160" s="3"/>
      <c r="B160" s="3"/>
      <c r="C160" s="3"/>
      <c r="D160" s="3"/>
      <c r="E160" s="3"/>
    </row>
    <row r="161" ht="13.5" customHeight="1" spans="1:5">
      <c r="A161" s="3"/>
      <c r="B161" s="3"/>
      <c r="C161" s="3"/>
      <c r="D161" s="3"/>
      <c r="E161" s="3"/>
    </row>
    <row r="162" ht="13.5" customHeight="1" spans="1:5">
      <c r="A162" s="3"/>
      <c r="B162" s="3"/>
      <c r="C162" s="3"/>
      <c r="D162" s="3"/>
      <c r="E162" s="3"/>
    </row>
    <row r="163" ht="13.5" customHeight="1" spans="1:5">
      <c r="A163" s="3"/>
      <c r="B163" s="3"/>
      <c r="C163" s="3"/>
      <c r="D163" s="3"/>
      <c r="E163" s="3"/>
    </row>
    <row r="164" ht="13.5" customHeight="1" spans="1:5">
      <c r="A164" s="3"/>
      <c r="B164" s="3"/>
      <c r="C164" s="3"/>
      <c r="D164" s="3"/>
      <c r="E164" s="3"/>
    </row>
    <row r="165" ht="13.5" customHeight="1" spans="1:5">
      <c r="A165" s="3"/>
      <c r="B165" s="3"/>
      <c r="C165" s="3"/>
      <c r="D165" s="3"/>
      <c r="E165" s="3"/>
    </row>
    <row r="166" ht="13.5" customHeight="1" spans="1:5">
      <c r="A166" s="3"/>
      <c r="B166" s="3"/>
      <c r="C166" s="3"/>
      <c r="D166" s="3"/>
      <c r="E166" s="3"/>
    </row>
    <row r="167" ht="13.5" customHeight="1" spans="1:5">
      <c r="A167" s="3"/>
      <c r="B167" s="3"/>
      <c r="C167" s="3"/>
      <c r="D167" s="3"/>
      <c r="E167" s="3"/>
    </row>
    <row r="168" ht="13.5" customHeight="1" spans="1:5">
      <c r="A168" s="3"/>
      <c r="B168" s="3"/>
      <c r="C168" s="3"/>
      <c r="D168" s="3"/>
      <c r="E168" s="3"/>
    </row>
    <row r="169" ht="13.5" customHeight="1" spans="1:5">
      <c r="A169" s="3"/>
      <c r="B169" s="3"/>
      <c r="C169" s="3"/>
      <c r="D169" s="3"/>
      <c r="E169" s="3"/>
    </row>
    <row r="170" ht="13.5" customHeight="1" spans="1:5">
      <c r="A170" s="3"/>
      <c r="B170" s="3"/>
      <c r="C170" s="3"/>
      <c r="D170" s="3"/>
      <c r="E170" s="3"/>
    </row>
    <row r="171" ht="13.5" customHeight="1" spans="1:5">
      <c r="A171" s="3"/>
      <c r="B171" s="3"/>
      <c r="C171" s="3"/>
      <c r="D171" s="3"/>
      <c r="E171" s="3"/>
    </row>
    <row r="172" ht="13.5" customHeight="1" spans="1:5">
      <c r="A172" s="3"/>
      <c r="B172" s="3"/>
      <c r="C172" s="3"/>
      <c r="D172" s="3"/>
      <c r="E172" s="3"/>
    </row>
    <row r="173" ht="13.5" customHeight="1" spans="1:5">
      <c r="A173" s="3"/>
      <c r="B173" s="3"/>
      <c r="C173" s="3"/>
      <c r="D173" s="3"/>
      <c r="E173" s="3"/>
    </row>
    <row r="174" ht="13.5" customHeight="1" spans="1:5">
      <c r="A174" s="3"/>
      <c r="B174" s="3"/>
      <c r="C174" s="3"/>
      <c r="D174" s="3"/>
      <c r="E174" s="3"/>
    </row>
    <row r="175" ht="13.5" customHeight="1" spans="1:5">
      <c r="A175" s="3"/>
      <c r="B175" s="3"/>
      <c r="C175" s="3"/>
      <c r="D175" s="3"/>
      <c r="E175" s="3"/>
    </row>
    <row r="176" ht="13.5" customHeight="1" spans="1:5">
      <c r="A176" s="3"/>
      <c r="B176" s="3"/>
      <c r="C176" s="3"/>
      <c r="D176" s="3"/>
      <c r="E176" s="3"/>
    </row>
    <row r="177" ht="13.5" customHeight="1" spans="1:5">
      <c r="A177" s="3"/>
      <c r="B177" s="3"/>
      <c r="C177" s="3"/>
      <c r="D177" s="3"/>
      <c r="E177" s="3"/>
    </row>
    <row r="178" ht="13.5" customHeight="1" spans="1:5">
      <c r="A178" s="3"/>
      <c r="B178" s="3"/>
      <c r="C178" s="3"/>
      <c r="D178" s="3"/>
      <c r="E178" s="3"/>
    </row>
    <row r="179" ht="13.5" customHeight="1" spans="1:5">
      <c r="A179" s="3"/>
      <c r="B179" s="3"/>
      <c r="C179" s="3"/>
      <c r="D179" s="3"/>
      <c r="E179" s="3"/>
    </row>
    <row r="180" ht="13.5" customHeight="1" spans="1:5">
      <c r="A180" s="3"/>
      <c r="B180" s="3"/>
      <c r="C180" s="3"/>
      <c r="D180" s="3"/>
      <c r="E180" s="3"/>
    </row>
    <row r="181" ht="13.5" customHeight="1" spans="1:5">
      <c r="A181" s="3"/>
      <c r="B181" s="3"/>
      <c r="C181" s="3"/>
      <c r="D181" s="3"/>
      <c r="E181" s="3"/>
    </row>
    <row r="182" ht="13.5" customHeight="1" spans="1:5">
      <c r="A182" s="3"/>
      <c r="B182" s="3"/>
      <c r="C182" s="3"/>
      <c r="D182" s="3"/>
      <c r="E182" s="3"/>
    </row>
    <row r="183" ht="13.5" customHeight="1" spans="1:5">
      <c r="A183" s="3"/>
      <c r="B183" s="3"/>
      <c r="C183" s="3"/>
      <c r="D183" s="3"/>
      <c r="E183" s="3"/>
    </row>
    <row r="184" ht="13.5" customHeight="1" spans="1:5">
      <c r="A184" s="3"/>
      <c r="B184" s="3"/>
      <c r="C184" s="3"/>
      <c r="D184" s="3"/>
      <c r="E184" s="3"/>
    </row>
    <row r="185" ht="13.5" customHeight="1" spans="1:5">
      <c r="A185" s="3"/>
      <c r="B185" s="3"/>
      <c r="C185" s="3"/>
      <c r="D185" s="3"/>
      <c r="E185" s="3"/>
    </row>
    <row r="186" ht="13.5" customHeight="1" spans="1:5">
      <c r="A186" s="3"/>
      <c r="B186" s="3"/>
      <c r="C186" s="3"/>
      <c r="D186" s="3"/>
      <c r="E186" s="3"/>
    </row>
    <row r="187" ht="13.5" customHeight="1" spans="1:5">
      <c r="A187" s="3"/>
      <c r="B187" s="3"/>
      <c r="C187" s="3"/>
      <c r="D187" s="3"/>
      <c r="E187" s="3"/>
    </row>
    <row r="188" spans="1:5">
      <c r="A188" s="3"/>
      <c r="B188" s="3"/>
      <c r="C188" s="3"/>
      <c r="D188" s="3"/>
      <c r="E188" s="3"/>
    </row>
    <row r="189" spans="1:5">
      <c r="A189" s="3"/>
      <c r="B189" s="3"/>
      <c r="C189" s="3"/>
      <c r="D189" s="3"/>
      <c r="E189" s="3"/>
    </row>
    <row r="190" spans="1:5">
      <c r="A190" s="3"/>
      <c r="B190" s="3"/>
      <c r="C190" s="3"/>
      <c r="D190" s="3"/>
      <c r="E190" s="3"/>
    </row>
    <row r="191" spans="1:5">
      <c r="A191" s="3"/>
      <c r="B191" s="3"/>
      <c r="C191" s="3"/>
      <c r="D191" s="3"/>
      <c r="E191" s="3"/>
    </row>
    <row r="192" spans="1:5">
      <c r="A192" s="3"/>
      <c r="B192" s="3"/>
      <c r="C192" s="3"/>
      <c r="D192" s="3"/>
      <c r="E192" s="3"/>
    </row>
    <row r="193" spans="1:5">
      <c r="A193" s="3"/>
      <c r="B193" s="3"/>
      <c r="C193" s="3"/>
      <c r="D193" s="3"/>
      <c r="E193" s="3"/>
    </row>
    <row r="194" spans="1:5">
      <c r="A194" s="3"/>
      <c r="B194" s="3"/>
      <c r="C194" s="3"/>
      <c r="D194" s="3"/>
      <c r="E194" s="3"/>
    </row>
    <row r="195" spans="1:5">
      <c r="A195" s="3"/>
      <c r="B195" s="3"/>
      <c r="C195" s="3"/>
      <c r="D195" s="3"/>
      <c r="E195" s="3"/>
    </row>
    <row r="196" spans="1:5">
      <c r="A196" s="3"/>
      <c r="B196" s="3"/>
      <c r="C196" s="3"/>
      <c r="D196" s="3"/>
      <c r="E196" s="3"/>
    </row>
    <row r="197" spans="1:5">
      <c r="A197" s="3"/>
      <c r="B197" s="3"/>
      <c r="C197" s="3"/>
      <c r="D197" s="3"/>
      <c r="E197" s="3"/>
    </row>
    <row r="198" spans="1:5">
      <c r="A198" s="3"/>
      <c r="B198" s="3"/>
      <c r="C198" s="3"/>
      <c r="D198" s="3"/>
      <c r="E198" s="3"/>
    </row>
    <row r="199" spans="1:5">
      <c r="A199" s="3"/>
      <c r="B199" s="3"/>
      <c r="C199" s="3"/>
      <c r="D199" s="3"/>
      <c r="E199" s="3"/>
    </row>
    <row r="200" spans="1:5">
      <c r="A200" s="3"/>
      <c r="B200" s="3"/>
      <c r="C200" s="3"/>
      <c r="D200" s="3"/>
      <c r="E200" s="3"/>
    </row>
    <row r="201" spans="1:5">
      <c r="A201" s="3"/>
      <c r="B201" s="3"/>
      <c r="C201" s="3"/>
      <c r="D201" s="3"/>
      <c r="E201" s="3"/>
    </row>
    <row r="202" spans="1:5">
      <c r="A202" s="3"/>
      <c r="B202" s="3"/>
      <c r="C202" s="3"/>
      <c r="D202" s="3"/>
      <c r="E202" s="3"/>
    </row>
    <row r="203" spans="1:5">
      <c r="A203" s="3"/>
      <c r="B203" s="3"/>
      <c r="C203" s="3"/>
      <c r="D203" s="3"/>
      <c r="E203" s="3"/>
    </row>
    <row r="204" spans="1:5">
      <c r="A204" s="3"/>
      <c r="B204" s="3"/>
      <c r="C204" s="3"/>
      <c r="D204" s="3"/>
      <c r="E204" s="3"/>
    </row>
    <row r="205" spans="1:5">
      <c r="A205" s="3"/>
      <c r="B205" s="3"/>
      <c r="C205" s="3"/>
      <c r="D205" s="3"/>
      <c r="E205" s="3"/>
    </row>
    <row r="206" spans="1:5">
      <c r="A206" s="3"/>
      <c r="B206" s="3"/>
      <c r="C206" s="3"/>
      <c r="D206" s="3"/>
      <c r="E206" s="3"/>
    </row>
    <row r="207" spans="1:5">
      <c r="A207" s="3"/>
      <c r="B207" s="3"/>
      <c r="C207" s="3"/>
      <c r="D207" s="3"/>
      <c r="E207" s="3"/>
    </row>
    <row r="208" spans="1:5">
      <c r="A208" s="3"/>
      <c r="B208" s="3"/>
      <c r="C208" s="3"/>
      <c r="D208" s="3"/>
      <c r="E208" s="3"/>
    </row>
    <row r="209" spans="1:5">
      <c r="A209" s="3"/>
      <c r="B209" s="3"/>
      <c r="C209" s="3"/>
      <c r="D209" s="3"/>
      <c r="E209" s="3"/>
    </row>
    <row r="210" spans="1:5">
      <c r="A210" s="3"/>
      <c r="B210" s="3"/>
      <c r="C210" s="3"/>
      <c r="D210" s="3"/>
      <c r="E210" s="3"/>
    </row>
    <row r="211" spans="1:5">
      <c r="A211" s="3"/>
      <c r="B211" s="3"/>
      <c r="C211" s="3"/>
      <c r="D211" s="3"/>
      <c r="E211" s="3"/>
    </row>
    <row r="212" spans="1:5">
      <c r="A212" s="3"/>
      <c r="B212" s="3"/>
      <c r="C212" s="3"/>
      <c r="D212" s="3"/>
      <c r="E212" s="3"/>
    </row>
    <row r="213" spans="1:5">
      <c r="A213" s="3"/>
      <c r="B213" s="3"/>
      <c r="C213" s="3"/>
      <c r="D213" s="3"/>
      <c r="E213" s="3"/>
    </row>
    <row r="214" spans="1:5">
      <c r="A214" s="3"/>
      <c r="B214" s="3"/>
      <c r="C214" s="3"/>
      <c r="D214" s="3"/>
      <c r="E214" s="3"/>
    </row>
    <row r="215" spans="1:5">
      <c r="A215" s="3"/>
      <c r="B215" s="3"/>
      <c r="C215" s="3"/>
      <c r="D215" s="3"/>
      <c r="E215" s="3"/>
    </row>
    <row r="216" spans="1:5">
      <c r="A216" s="3"/>
      <c r="B216" s="3"/>
      <c r="C216" s="3"/>
      <c r="D216" s="3"/>
      <c r="E216" s="3"/>
    </row>
    <row r="217" spans="1:5">
      <c r="A217" s="3"/>
      <c r="B217" s="3"/>
      <c r="C217" s="3"/>
      <c r="D217" s="3"/>
      <c r="E217" s="3"/>
    </row>
    <row r="218" spans="1:5">
      <c r="A218" s="3"/>
      <c r="B218" s="3"/>
      <c r="C218" s="3"/>
      <c r="D218" s="3"/>
      <c r="E218" s="3"/>
    </row>
    <row r="219" spans="1:5">
      <c r="A219" s="3"/>
      <c r="B219" s="3"/>
      <c r="C219" s="3"/>
      <c r="D219" s="3"/>
      <c r="E219" s="3"/>
    </row>
    <row r="220" spans="1:5">
      <c r="A220" s="3"/>
      <c r="B220" s="3"/>
      <c r="C220" s="3"/>
      <c r="D220" s="3"/>
      <c r="E220" s="3"/>
    </row>
    <row r="221" spans="1:5">
      <c r="A221" s="3"/>
      <c r="B221" s="3"/>
      <c r="C221" s="3"/>
      <c r="D221" s="3"/>
      <c r="E221" s="3"/>
    </row>
    <row r="222" spans="1:5">
      <c r="A222" s="3"/>
      <c r="B222" s="3"/>
      <c r="C222" s="3"/>
      <c r="D222" s="3"/>
      <c r="E222" s="3"/>
    </row>
    <row r="223" spans="1:5">
      <c r="A223" s="3"/>
      <c r="B223" s="3"/>
      <c r="C223" s="3"/>
      <c r="D223" s="3"/>
      <c r="E223" s="3"/>
    </row>
    <row r="224" spans="1:5">
      <c r="A224" s="3"/>
      <c r="B224" s="3"/>
      <c r="C224" s="3"/>
      <c r="D224" s="3"/>
      <c r="E224" s="3"/>
    </row>
    <row r="225" spans="1:5">
      <c r="A225" s="3"/>
      <c r="B225" s="3"/>
      <c r="C225" s="3"/>
      <c r="D225" s="3"/>
      <c r="E225" s="3"/>
    </row>
    <row r="226" spans="1:5">
      <c r="A226" s="3"/>
      <c r="B226" s="3"/>
      <c r="C226" s="3"/>
      <c r="D226" s="3"/>
      <c r="E226" s="3"/>
    </row>
    <row r="227" spans="1:5">
      <c r="A227" s="3"/>
      <c r="B227" s="3"/>
      <c r="C227" s="3"/>
      <c r="D227" s="3"/>
      <c r="E227" s="3"/>
    </row>
    <row r="228" spans="1:5">
      <c r="A228" s="3"/>
      <c r="B228" s="3"/>
      <c r="C228" s="3"/>
      <c r="D228" s="3"/>
      <c r="E228" s="3"/>
    </row>
    <row r="229" spans="1:5">
      <c r="A229" s="3"/>
      <c r="B229" s="3"/>
      <c r="C229" s="3"/>
      <c r="D229" s="3"/>
      <c r="E229" s="3"/>
    </row>
    <row r="230" spans="1:5">
      <c r="A230" s="3"/>
      <c r="B230" s="3"/>
      <c r="C230" s="3"/>
      <c r="D230" s="3"/>
      <c r="E230" s="3"/>
    </row>
    <row r="231" spans="1:5">
      <c r="A231" s="3"/>
      <c r="B231" s="3"/>
      <c r="C231" s="3"/>
      <c r="D231" s="3"/>
      <c r="E231" s="3"/>
    </row>
    <row r="232" spans="1:5">
      <c r="A232" s="3"/>
      <c r="B232" s="3"/>
      <c r="C232" s="3"/>
      <c r="D232" s="3"/>
      <c r="E232" s="3"/>
    </row>
    <row r="233" spans="1:5">
      <c r="A233" s="3"/>
      <c r="B233" s="3"/>
      <c r="C233" s="3"/>
      <c r="D233" s="3"/>
      <c r="E233" s="3"/>
    </row>
    <row r="234" spans="1:5">
      <c r="A234" s="3"/>
      <c r="B234" s="3"/>
      <c r="C234" s="3"/>
      <c r="D234" s="3"/>
      <c r="E234" s="3"/>
    </row>
    <row r="235" spans="1:5">
      <c r="A235" s="3"/>
      <c r="B235" s="3"/>
      <c r="C235" s="3"/>
      <c r="D235" s="3"/>
      <c r="E235" s="3"/>
    </row>
    <row r="236" spans="1:5">
      <c r="A236" s="3"/>
      <c r="B236" s="3"/>
      <c r="C236" s="3"/>
      <c r="D236" s="3"/>
      <c r="E236" s="3"/>
    </row>
    <row r="237" spans="1:5">
      <c r="A237" s="3"/>
      <c r="B237" s="3"/>
      <c r="C237" s="3"/>
      <c r="D237" s="3"/>
      <c r="E237" s="3"/>
    </row>
    <row r="238" spans="1:5">
      <c r="A238" s="3"/>
      <c r="B238" s="3"/>
      <c r="C238" s="3"/>
      <c r="D238" s="3"/>
      <c r="E238" s="3"/>
    </row>
    <row r="239" spans="1:5">
      <c r="A239" s="3"/>
      <c r="B239" s="3"/>
      <c r="C239" s="3"/>
      <c r="D239" s="3"/>
      <c r="E239" s="3"/>
    </row>
    <row r="240" spans="1:5">
      <c r="A240" s="3"/>
      <c r="B240" s="3"/>
      <c r="C240" s="3"/>
      <c r="D240" s="3"/>
      <c r="E240" s="3"/>
    </row>
    <row r="241" spans="1:5">
      <c r="A241" s="3"/>
      <c r="B241" s="3"/>
      <c r="C241" s="3"/>
      <c r="D241" s="3"/>
      <c r="E241" s="3"/>
    </row>
    <row r="242" spans="1:5">
      <c r="A242" s="3"/>
      <c r="B242" s="3"/>
      <c r="C242" s="3"/>
      <c r="D242" s="3"/>
      <c r="E242" s="3"/>
    </row>
    <row r="243" spans="1:5">
      <c r="A243" s="3"/>
      <c r="B243" s="3"/>
      <c r="C243" s="3"/>
      <c r="D243" s="3"/>
      <c r="E243" s="3"/>
    </row>
    <row r="244" spans="1:5">
      <c r="A244" s="3"/>
      <c r="B244" s="3"/>
      <c r="C244" s="3"/>
      <c r="D244" s="3"/>
      <c r="E244" s="3"/>
    </row>
    <row r="245" spans="1:5">
      <c r="A245" s="3"/>
      <c r="B245" s="3"/>
      <c r="C245" s="3"/>
      <c r="D245" s="3"/>
      <c r="E245" s="3"/>
    </row>
    <row r="246" spans="1:5">
      <c r="A246" s="3"/>
      <c r="B246" s="3"/>
      <c r="C246" s="3"/>
      <c r="D246" s="3"/>
      <c r="E246" s="3"/>
    </row>
    <row r="247" spans="1:5">
      <c r="A247" s="3"/>
      <c r="B247" s="3"/>
      <c r="C247" s="3"/>
      <c r="D247" s="3"/>
      <c r="E247" s="3"/>
    </row>
    <row r="248" spans="1:5">
      <c r="A248" s="3"/>
      <c r="B248" s="3"/>
      <c r="C248" s="3"/>
      <c r="D248" s="3"/>
      <c r="E248" s="3"/>
    </row>
    <row r="249" spans="1:5">
      <c r="A249" s="3"/>
      <c r="B249" s="3"/>
      <c r="C249" s="3"/>
      <c r="D249" s="3"/>
      <c r="E249" s="3"/>
    </row>
    <row r="250" spans="1:5">
      <c r="A250" s="3"/>
      <c r="B250" s="3"/>
      <c r="C250" s="3"/>
      <c r="D250" s="3"/>
      <c r="E250" s="3"/>
    </row>
    <row r="251" spans="1:5">
      <c r="A251" s="3"/>
      <c r="B251" s="3"/>
      <c r="C251" s="3"/>
      <c r="D251" s="3"/>
      <c r="E251" s="3"/>
    </row>
    <row r="252" spans="1:5">
      <c r="A252" s="3"/>
      <c r="B252" s="3"/>
      <c r="C252" s="3"/>
      <c r="D252" s="3"/>
      <c r="E252" s="3"/>
    </row>
    <row r="253" spans="1:5">
      <c r="A253" s="3"/>
      <c r="B253" s="3"/>
      <c r="C253" s="3"/>
      <c r="D253" s="3"/>
      <c r="E253" s="3"/>
    </row>
    <row r="254" spans="1:5">
      <c r="A254" s="3"/>
      <c r="B254" s="3"/>
      <c r="C254" s="3"/>
      <c r="D254" s="3"/>
      <c r="E254" s="3"/>
    </row>
    <row r="255" spans="1:5">
      <c r="A255" s="3"/>
      <c r="B255" s="3"/>
      <c r="C255" s="3"/>
      <c r="D255" s="3"/>
      <c r="E255" s="3"/>
    </row>
    <row r="256" spans="1:5">
      <c r="A256" s="3"/>
      <c r="B256" s="3"/>
      <c r="C256" s="3"/>
      <c r="D256" s="3"/>
      <c r="E256" s="3"/>
    </row>
    <row r="257" spans="1:5">
      <c r="A257" s="3"/>
      <c r="B257" s="3"/>
      <c r="C257" s="3"/>
      <c r="D257" s="3"/>
      <c r="E257" s="3"/>
    </row>
    <row r="258" spans="1:5">
      <c r="A258" s="3"/>
      <c r="B258" s="3"/>
      <c r="C258" s="3"/>
      <c r="D258" s="3"/>
      <c r="E258" s="3"/>
    </row>
    <row r="259" spans="1:5">
      <c r="A259" s="3"/>
      <c r="B259" s="3"/>
      <c r="C259" s="3"/>
      <c r="D259" s="3"/>
      <c r="E259" s="3"/>
    </row>
    <row r="260" spans="1:5">
      <c r="A260" s="3"/>
      <c r="B260" s="3"/>
      <c r="C260" s="3"/>
      <c r="D260" s="3"/>
      <c r="E260" s="3"/>
    </row>
    <row r="261" spans="1:5">
      <c r="A261" s="3"/>
      <c r="B261" s="3"/>
      <c r="C261" s="3"/>
      <c r="D261" s="3"/>
      <c r="E261" s="3"/>
    </row>
    <row r="262" spans="1:5">
      <c r="A262" s="3"/>
      <c r="B262" s="3"/>
      <c r="C262" s="3"/>
      <c r="D262" s="3"/>
      <c r="E262" s="3"/>
    </row>
    <row r="263" spans="1:5">
      <c r="A263" s="3"/>
      <c r="B263" s="3"/>
      <c r="C263" s="3"/>
      <c r="D263" s="3"/>
      <c r="E263" s="3"/>
    </row>
    <row r="264" spans="1:5">
      <c r="A264" s="3"/>
      <c r="B264" s="3"/>
      <c r="C264" s="3"/>
      <c r="D264" s="3"/>
      <c r="E264" s="3"/>
    </row>
    <row r="265" spans="1:5">
      <c r="A265" s="3"/>
      <c r="B265" s="3"/>
      <c r="C265" s="3"/>
      <c r="D265" s="3"/>
      <c r="E265" s="3"/>
    </row>
    <row r="266" spans="1:5">
      <c r="A266" s="3"/>
      <c r="B266" s="3"/>
      <c r="C266" s="3"/>
      <c r="D266" s="3"/>
      <c r="E266" s="3"/>
    </row>
    <row r="267" spans="1:5">
      <c r="A267" s="3"/>
      <c r="B267" s="3"/>
      <c r="C267" s="3"/>
      <c r="D267" s="3"/>
      <c r="E267" s="3"/>
    </row>
    <row r="268" spans="1:5">
      <c r="A268" s="3"/>
      <c r="B268" s="3"/>
      <c r="C268" s="3"/>
      <c r="D268" s="3"/>
      <c r="E268" s="3"/>
    </row>
    <row r="269" spans="1:5">
      <c r="A269" s="3"/>
      <c r="B269" s="3"/>
      <c r="C269" s="3"/>
      <c r="D269" s="3"/>
      <c r="E269" s="3"/>
    </row>
    <row r="270" spans="1:5">
      <c r="A270" s="3"/>
      <c r="B270" s="3"/>
      <c r="C270" s="3"/>
      <c r="D270" s="3"/>
      <c r="E270" s="3"/>
    </row>
    <row r="271" spans="1:5">
      <c r="A271" s="3"/>
      <c r="B271" s="3"/>
      <c r="C271" s="3"/>
      <c r="D271" s="3"/>
      <c r="E271" s="3"/>
    </row>
    <row r="272" spans="1:5">
      <c r="A272" s="3"/>
      <c r="B272" s="3"/>
      <c r="C272" s="3"/>
      <c r="D272" s="3"/>
      <c r="E272" s="3"/>
    </row>
    <row r="273" spans="1:5">
      <c r="A273" s="3"/>
      <c r="B273" s="3"/>
      <c r="C273" s="3"/>
      <c r="D273" s="3"/>
      <c r="E273" s="3"/>
    </row>
    <row r="274" spans="1:5">
      <c r="A274" s="3"/>
      <c r="B274" s="3"/>
      <c r="C274" s="3"/>
      <c r="D274" s="3"/>
      <c r="E274" s="3"/>
    </row>
    <row r="275" spans="1:5">
      <c r="A275" s="3"/>
      <c r="B275" s="3"/>
      <c r="C275" s="3"/>
      <c r="D275" s="3"/>
      <c r="E275" s="3"/>
    </row>
    <row r="276" spans="1:5">
      <c r="A276" s="3"/>
      <c r="B276" s="3"/>
      <c r="C276" s="3"/>
      <c r="D276" s="3"/>
      <c r="E276" s="3"/>
    </row>
    <row r="277" spans="1:5">
      <c r="A277" s="3"/>
      <c r="B277" s="3"/>
      <c r="C277" s="3"/>
      <c r="D277" s="3"/>
      <c r="E277" s="3"/>
    </row>
    <row r="278" spans="1:5">
      <c r="A278" s="3"/>
      <c r="B278" s="3"/>
      <c r="C278" s="3"/>
      <c r="D278" s="3"/>
      <c r="E278" s="3"/>
    </row>
    <row r="279" spans="1:5">
      <c r="A279" s="3"/>
      <c r="B279" s="3"/>
      <c r="C279" s="3"/>
      <c r="D279" s="3"/>
      <c r="E279" s="3"/>
    </row>
    <row r="280" spans="1:5">
      <c r="A280" s="3"/>
      <c r="B280" s="3"/>
      <c r="C280" s="3"/>
      <c r="D280" s="3"/>
      <c r="E280" s="3"/>
    </row>
    <row r="281" spans="1:5">
      <c r="A281" s="3"/>
      <c r="B281" s="3"/>
      <c r="C281" s="3"/>
      <c r="D281" s="3"/>
      <c r="E281" s="3"/>
    </row>
    <row r="282" spans="1:5">
      <c r="A282" s="3"/>
      <c r="B282" s="3"/>
      <c r="C282" s="3"/>
      <c r="D282" s="3"/>
      <c r="E282" s="3"/>
    </row>
    <row r="283" spans="1:5">
      <c r="A283" s="3"/>
      <c r="B283" s="3"/>
      <c r="C283" s="3"/>
      <c r="D283" s="3"/>
      <c r="E283" s="3"/>
    </row>
    <row r="284" spans="1:5">
      <c r="A284" s="3"/>
      <c r="B284" s="3"/>
      <c r="C284" s="3"/>
      <c r="D284" s="3"/>
      <c r="E284" s="3"/>
    </row>
    <row r="285" spans="1:5">
      <c r="A285" s="3"/>
      <c r="B285" s="3"/>
      <c r="C285" s="3"/>
      <c r="D285" s="3"/>
      <c r="E285" s="3"/>
    </row>
    <row r="286" spans="1:5">
      <c r="A286" s="3"/>
      <c r="B286" s="3"/>
      <c r="C286" s="3"/>
      <c r="D286" s="3"/>
      <c r="E286" s="3"/>
    </row>
    <row r="287" spans="1:5">
      <c r="A287" s="3"/>
      <c r="B287" s="3"/>
      <c r="C287" s="3"/>
      <c r="D287" s="3"/>
      <c r="E287" s="3"/>
    </row>
    <row r="288" spans="1:5">
      <c r="A288" s="3"/>
      <c r="B288" s="3"/>
      <c r="C288" s="3"/>
      <c r="D288" s="3"/>
      <c r="E288" s="3"/>
    </row>
    <row r="289" spans="1:5">
      <c r="A289" s="3"/>
      <c r="B289" s="3"/>
      <c r="C289" s="3"/>
      <c r="D289" s="3"/>
      <c r="E289" s="3"/>
    </row>
    <row r="290" spans="1:5">
      <c r="A290" s="3"/>
      <c r="B290" s="3"/>
      <c r="C290" s="3"/>
      <c r="D290" s="3"/>
      <c r="E290" s="3"/>
    </row>
    <row r="291" spans="1:5">
      <c r="A291" s="3"/>
      <c r="B291" s="3"/>
      <c r="C291" s="3"/>
      <c r="D291" s="3"/>
      <c r="E291" s="3"/>
    </row>
    <row r="292" spans="1:5">
      <c r="A292" s="3"/>
      <c r="B292" s="3"/>
      <c r="C292" s="3"/>
      <c r="D292" s="3"/>
      <c r="E292" s="3"/>
    </row>
    <row r="293" spans="1:5">
      <c r="A293" s="3"/>
      <c r="B293" s="3"/>
      <c r="C293" s="3"/>
      <c r="D293" s="3"/>
      <c r="E293" s="3"/>
    </row>
    <row r="294" spans="1:5">
      <c r="A294" s="3"/>
      <c r="B294" s="3"/>
      <c r="C294" s="3"/>
      <c r="D294" s="3"/>
      <c r="E294" s="3"/>
    </row>
    <row r="295" spans="1:5">
      <c r="A295" s="3"/>
      <c r="B295" s="3"/>
      <c r="C295" s="3"/>
      <c r="D295" s="3"/>
      <c r="E295" s="3"/>
    </row>
    <row r="296" spans="1:5">
      <c r="A296" s="3"/>
      <c r="B296" s="3"/>
      <c r="C296" s="3"/>
      <c r="D296" s="3"/>
      <c r="E296" s="3"/>
    </row>
    <row r="297" spans="1:5">
      <c r="A297" s="3"/>
      <c r="B297" s="3"/>
      <c r="C297" s="3"/>
      <c r="D297" s="3"/>
      <c r="E297" s="3"/>
    </row>
    <row r="298" spans="1:5">
      <c r="A298" s="3"/>
      <c r="B298" s="3"/>
      <c r="C298" s="3"/>
      <c r="D298" s="3"/>
      <c r="E298" s="3"/>
    </row>
    <row r="299" spans="1:5">
      <c r="A299" s="3"/>
      <c r="B299" s="3"/>
      <c r="C299" s="3"/>
      <c r="D299" s="3"/>
      <c r="E299" s="3"/>
    </row>
    <row r="300" spans="1:5">
      <c r="A300" s="3"/>
      <c r="B300" s="3"/>
      <c r="C300" s="3"/>
      <c r="D300" s="3"/>
      <c r="E300" s="3"/>
    </row>
    <row r="301" spans="1:5">
      <c r="A301" s="3"/>
      <c r="B301" s="3"/>
      <c r="C301" s="3"/>
      <c r="D301" s="3"/>
      <c r="E301" s="3"/>
    </row>
    <row r="302" spans="1:5">
      <c r="A302" s="3"/>
      <c r="B302" s="3"/>
      <c r="C302" s="3"/>
      <c r="D302" s="3"/>
      <c r="E302" s="3"/>
    </row>
    <row r="303" spans="1:5">
      <c r="A303" s="3"/>
      <c r="B303" s="3"/>
      <c r="C303" s="3"/>
      <c r="D303" s="3"/>
      <c r="E303" s="3"/>
    </row>
    <row r="304" spans="1:5">
      <c r="A304" s="3"/>
      <c r="B304" s="3"/>
      <c r="C304" s="3"/>
      <c r="D304" s="3"/>
      <c r="E304" s="3"/>
    </row>
    <row r="305" spans="1:5">
      <c r="A305" s="3"/>
      <c r="B305" s="3"/>
      <c r="C305" s="3"/>
      <c r="D305" s="3"/>
      <c r="E305" s="3"/>
    </row>
    <row r="306" spans="1:5">
      <c r="A306" s="3"/>
      <c r="B306" s="3"/>
      <c r="C306" s="3"/>
      <c r="D306" s="3"/>
      <c r="E306" s="3"/>
    </row>
    <row r="307" spans="1:5">
      <c r="A307" s="3"/>
      <c r="B307" s="3"/>
      <c r="C307" s="3"/>
      <c r="D307" s="3"/>
      <c r="E307" s="3"/>
    </row>
    <row r="308" spans="1:5">
      <c r="A308" s="3"/>
      <c r="B308" s="3"/>
      <c r="C308" s="3"/>
      <c r="D308" s="3"/>
      <c r="E308" s="3"/>
    </row>
    <row r="309" spans="1:5">
      <c r="A309" s="3"/>
      <c r="B309" s="3"/>
      <c r="C309" s="3"/>
      <c r="D309" s="3"/>
      <c r="E309" s="3"/>
    </row>
    <row r="310" spans="1:5">
      <c r="A310" s="3"/>
      <c r="B310" s="3"/>
      <c r="C310" s="3"/>
      <c r="D310" s="3"/>
      <c r="E310" s="3"/>
    </row>
    <row r="311" spans="1:5">
      <c r="A311" s="3"/>
      <c r="B311" s="3"/>
      <c r="C311" s="3"/>
      <c r="D311" s="3"/>
      <c r="E311" s="3"/>
    </row>
    <row r="312" spans="1:5">
      <c r="A312" s="3"/>
      <c r="B312" s="3"/>
      <c r="C312" s="3"/>
      <c r="D312" s="3"/>
      <c r="E312" s="3"/>
    </row>
    <row r="313" spans="1:5">
      <c r="A313" s="3"/>
      <c r="B313" s="3"/>
      <c r="C313" s="3"/>
      <c r="D313" s="3"/>
      <c r="E313" s="3"/>
    </row>
    <row r="314" spans="1:5">
      <c r="A314" s="3"/>
      <c r="B314" s="3"/>
      <c r="C314" s="3"/>
      <c r="D314" s="3"/>
      <c r="E314" s="3"/>
    </row>
    <row r="315" spans="1:5">
      <c r="A315" s="3"/>
      <c r="B315" s="3"/>
      <c r="C315" s="3"/>
      <c r="D315" s="3"/>
      <c r="E315" s="3"/>
    </row>
    <row r="316" spans="1:5">
      <c r="A316" s="3"/>
      <c r="B316" s="3"/>
      <c r="C316" s="3"/>
      <c r="D316" s="3"/>
      <c r="E316" s="3"/>
    </row>
    <row r="317" spans="1:5">
      <c r="A317" s="3"/>
      <c r="B317" s="3"/>
      <c r="C317" s="3"/>
      <c r="D317" s="3"/>
      <c r="E317" s="3"/>
    </row>
    <row r="318" spans="1:5">
      <c r="A318" s="3"/>
      <c r="B318" s="3"/>
      <c r="C318" s="3"/>
      <c r="D318" s="3"/>
      <c r="E318" s="3"/>
    </row>
    <row r="319" spans="1:5">
      <c r="A319" s="3"/>
      <c r="B319" s="3"/>
      <c r="C319" s="3"/>
      <c r="D319" s="3"/>
      <c r="E319" s="3"/>
    </row>
    <row r="320" spans="1:5">
      <c r="A320" s="3"/>
      <c r="B320" s="3"/>
      <c r="C320" s="3"/>
      <c r="D320" s="3"/>
      <c r="E320" s="3"/>
    </row>
    <row r="321" spans="1:5">
      <c r="A321" s="3"/>
      <c r="B321" s="3"/>
      <c r="C321" s="3"/>
      <c r="D321" s="3"/>
      <c r="E321" s="3"/>
    </row>
    <row r="322" spans="1:5">
      <c r="A322" s="3"/>
      <c r="B322" s="3"/>
      <c r="C322" s="3"/>
      <c r="D322" s="3"/>
      <c r="E322" s="3"/>
    </row>
    <row r="323" spans="1:5">
      <c r="A323" s="3"/>
      <c r="B323" s="3"/>
      <c r="C323" s="3"/>
      <c r="D323" s="3"/>
      <c r="E323" s="3"/>
    </row>
    <row r="324" spans="1:5">
      <c r="A324" s="3"/>
      <c r="B324" s="3"/>
      <c r="C324" s="3"/>
      <c r="D324" s="3"/>
      <c r="E324" s="3"/>
    </row>
    <row r="325" spans="1:5">
      <c r="A325" s="3"/>
      <c r="B325" s="3"/>
      <c r="C325" s="3"/>
      <c r="D325" s="3"/>
      <c r="E325" s="3"/>
    </row>
    <row r="326" spans="1:5">
      <c r="A326" s="3"/>
      <c r="B326" s="3"/>
      <c r="C326" s="3"/>
      <c r="D326" s="3"/>
      <c r="E326" s="3"/>
    </row>
    <row r="327" spans="1:5">
      <c r="A327" s="3"/>
      <c r="B327" s="3"/>
      <c r="C327" s="3"/>
      <c r="D327" s="3"/>
      <c r="E327" s="3"/>
    </row>
    <row r="328" spans="1:5">
      <c r="A328" s="3"/>
      <c r="B328" s="3"/>
      <c r="C328" s="3"/>
      <c r="D328" s="3"/>
      <c r="E328" s="3"/>
    </row>
    <row r="329" spans="1:5">
      <c r="A329" s="3"/>
      <c r="B329" s="3"/>
      <c r="C329" s="3"/>
      <c r="D329" s="3"/>
      <c r="E329" s="3"/>
    </row>
    <row r="330" spans="1:5">
      <c r="A330" s="3"/>
      <c r="B330" s="3"/>
      <c r="C330" s="3"/>
      <c r="D330" s="3"/>
      <c r="E330" s="3"/>
    </row>
    <row r="331" spans="1:5">
      <c r="A331" s="3"/>
      <c r="B331" s="3"/>
      <c r="C331" s="3"/>
      <c r="D331" s="3"/>
      <c r="E331" s="3"/>
    </row>
    <row r="332" spans="1:5">
      <c r="A332" s="3"/>
      <c r="B332" s="3"/>
      <c r="C332" s="3"/>
      <c r="D332" s="3"/>
      <c r="E332" s="3"/>
    </row>
    <row r="333" spans="1:5">
      <c r="A333" s="3"/>
      <c r="B333" s="3"/>
      <c r="C333" s="3"/>
      <c r="D333" s="3"/>
      <c r="E333" s="3"/>
    </row>
    <row r="334" spans="1:5">
      <c r="A334" s="3"/>
      <c r="B334" s="3"/>
      <c r="C334" s="3"/>
      <c r="D334" s="3"/>
      <c r="E334" s="3"/>
    </row>
    <row r="335" spans="1:5">
      <c r="A335" s="3"/>
      <c r="B335" s="3"/>
      <c r="C335" s="3"/>
      <c r="D335" s="3"/>
      <c r="E335" s="3"/>
    </row>
    <row r="336" spans="1:5">
      <c r="A336" s="3"/>
      <c r="B336" s="3"/>
      <c r="C336" s="3"/>
      <c r="D336" s="3"/>
      <c r="E336" s="3"/>
    </row>
    <row r="337" spans="1:5">
      <c r="A337" s="3"/>
      <c r="B337" s="3"/>
      <c r="C337" s="3"/>
      <c r="D337" s="3"/>
      <c r="E337" s="3"/>
    </row>
    <row r="338" spans="1:5">
      <c r="A338" s="3"/>
      <c r="B338" s="3"/>
      <c r="C338" s="3"/>
      <c r="D338" s="3"/>
      <c r="E338" s="3"/>
    </row>
    <row r="339" spans="1:5">
      <c r="A339" s="3"/>
      <c r="B339" s="3"/>
      <c r="C339" s="3"/>
      <c r="D339" s="3"/>
      <c r="E339" s="3"/>
    </row>
    <row r="340" spans="1:5">
      <c r="A340" s="3"/>
      <c r="B340" s="3"/>
      <c r="C340" s="3"/>
      <c r="D340" s="3"/>
      <c r="E340" s="3"/>
    </row>
    <row r="341" spans="1:5">
      <c r="A341" s="3"/>
      <c r="B341" s="3"/>
      <c r="C341" s="3"/>
      <c r="D341" s="3"/>
      <c r="E341" s="3"/>
    </row>
    <row r="342" spans="1:5">
      <c r="A342" s="3"/>
      <c r="B342" s="3"/>
      <c r="C342" s="3"/>
      <c r="D342" s="3"/>
      <c r="E342" s="3"/>
    </row>
    <row r="343" spans="1:5">
      <c r="A343" s="3"/>
      <c r="B343" s="3"/>
      <c r="C343" s="3"/>
      <c r="D343" s="3"/>
      <c r="E343" s="3"/>
    </row>
    <row r="344" spans="1:5">
      <c r="A344" s="3"/>
      <c r="B344" s="3"/>
      <c r="C344" s="3"/>
      <c r="D344" s="3"/>
      <c r="E344" s="3"/>
    </row>
    <row r="345" spans="1:5">
      <c r="A345" s="3"/>
      <c r="B345" s="3"/>
      <c r="C345" s="3"/>
      <c r="D345" s="3"/>
      <c r="E345" s="3"/>
    </row>
    <row r="346" spans="1:5">
      <c r="A346" s="3"/>
      <c r="B346" s="3"/>
      <c r="C346" s="3"/>
      <c r="D346" s="3"/>
      <c r="E346" s="3"/>
    </row>
    <row r="347" spans="1:5">
      <c r="A347" s="3"/>
      <c r="B347" s="3"/>
      <c r="C347" s="3"/>
      <c r="D347" s="3"/>
      <c r="E347" s="3"/>
    </row>
    <row r="348" spans="1:5">
      <c r="A348" s="3"/>
      <c r="B348" s="3"/>
      <c r="C348" s="3"/>
      <c r="D348" s="3"/>
      <c r="E348" s="3"/>
    </row>
    <row r="349" spans="1:5">
      <c r="A349" s="3"/>
      <c r="B349" s="3"/>
      <c r="C349" s="3"/>
      <c r="D349" s="3"/>
      <c r="E349" s="3"/>
    </row>
    <row r="350" spans="1:5">
      <c r="A350" s="3"/>
      <c r="B350" s="3"/>
      <c r="C350" s="3"/>
      <c r="D350" s="3"/>
      <c r="E350" s="3"/>
    </row>
    <row r="351" spans="1:5">
      <c r="A351" s="3"/>
      <c r="B351" s="3"/>
      <c r="C351" s="3"/>
      <c r="D351" s="3"/>
      <c r="E351" s="3"/>
    </row>
    <row r="352" spans="1:5">
      <c r="A352" s="3"/>
      <c r="B352" s="3"/>
      <c r="C352" s="3"/>
      <c r="D352" s="3"/>
      <c r="E352" s="3"/>
    </row>
    <row r="353" spans="1:5">
      <c r="A353" s="3"/>
      <c r="B353" s="3"/>
      <c r="C353" s="3"/>
      <c r="D353" s="3"/>
      <c r="E353" s="3"/>
    </row>
    <row r="354" spans="1:5">
      <c r="A354" s="3"/>
      <c r="B354" s="3"/>
      <c r="C354" s="3"/>
      <c r="D354" s="3"/>
      <c r="E354" s="3"/>
    </row>
    <row r="355" spans="1:5">
      <c r="A355" s="3"/>
      <c r="B355" s="3"/>
      <c r="C355" s="3"/>
      <c r="D355" s="3"/>
      <c r="E355" s="3"/>
    </row>
    <row r="356" spans="1:5">
      <c r="A356" s="3"/>
      <c r="B356" s="3"/>
      <c r="C356" s="3"/>
      <c r="D356" s="3"/>
      <c r="E356" s="3"/>
    </row>
    <row r="357" spans="1:5">
      <c r="A357" s="3"/>
      <c r="B357" s="3"/>
      <c r="C357" s="3"/>
      <c r="D357" s="3"/>
      <c r="E357" s="3"/>
    </row>
    <row r="358" spans="1:5">
      <c r="A358" s="3"/>
      <c r="B358" s="3"/>
      <c r="C358" s="3"/>
      <c r="D358" s="3"/>
      <c r="E358" s="3"/>
    </row>
    <row r="359" spans="1:5">
      <c r="A359" s="3"/>
      <c r="B359" s="3"/>
      <c r="C359" s="3"/>
      <c r="D359" s="3"/>
      <c r="E359" s="3"/>
    </row>
    <row r="360" spans="1:5">
      <c r="A360" s="3"/>
      <c r="B360" s="3"/>
      <c r="C360" s="3"/>
      <c r="D360" s="3"/>
      <c r="E360" s="3"/>
    </row>
    <row r="361" spans="1:5">
      <c r="A361" s="3"/>
      <c r="B361" s="3"/>
      <c r="C361" s="3"/>
      <c r="D361" s="3"/>
      <c r="E361" s="3"/>
    </row>
    <row r="362" spans="1:5">
      <c r="A362" s="3"/>
      <c r="B362" s="3"/>
      <c r="C362" s="3"/>
      <c r="D362" s="3"/>
      <c r="E362" s="3"/>
    </row>
    <row r="363" spans="1:5">
      <c r="A363" s="3"/>
      <c r="B363" s="3"/>
      <c r="C363" s="3"/>
      <c r="D363" s="3"/>
      <c r="E363" s="3"/>
    </row>
    <row r="364" spans="1:5">
      <c r="A364" s="3"/>
      <c r="B364" s="3"/>
      <c r="C364" s="3"/>
      <c r="D364" s="3"/>
      <c r="E364" s="3"/>
    </row>
    <row r="365" spans="1:5">
      <c r="A365" s="3"/>
      <c r="B365" s="3"/>
      <c r="C365" s="3"/>
      <c r="D365" s="3"/>
      <c r="E365" s="3"/>
    </row>
    <row r="366" spans="1:5">
      <c r="A366" s="3"/>
      <c r="B366" s="3"/>
      <c r="C366" s="3"/>
      <c r="D366" s="3"/>
      <c r="E366" s="3"/>
    </row>
    <row r="367" spans="1:5">
      <c r="A367" s="3"/>
      <c r="B367" s="3"/>
      <c r="C367" s="3"/>
      <c r="D367" s="3"/>
      <c r="E367" s="3"/>
    </row>
    <row r="368" spans="1:5">
      <c r="A368" s="3"/>
      <c r="B368" s="3"/>
      <c r="C368" s="3"/>
      <c r="D368" s="3"/>
      <c r="E368" s="3"/>
    </row>
    <row r="369" spans="1:5">
      <c r="A369" s="3"/>
      <c r="B369" s="3"/>
      <c r="C369" s="3"/>
      <c r="D369" s="3"/>
      <c r="E369" s="3"/>
    </row>
    <row r="370" spans="1:5">
      <c r="A370" s="3"/>
      <c r="B370" s="3"/>
      <c r="C370" s="3"/>
      <c r="D370" s="3"/>
      <c r="E370" s="3"/>
    </row>
    <row r="371" spans="1:5">
      <c r="A371" s="3"/>
      <c r="B371" s="3"/>
      <c r="C371" s="3"/>
      <c r="D371" s="3"/>
      <c r="E371" s="3"/>
    </row>
    <row r="372" spans="1:5">
      <c r="A372" s="3"/>
      <c r="B372" s="3"/>
      <c r="C372" s="3"/>
      <c r="D372" s="3"/>
      <c r="E372" s="3"/>
    </row>
    <row r="373" spans="1:5">
      <c r="A373" s="3"/>
      <c r="B373" s="3"/>
      <c r="C373" s="3"/>
      <c r="D373" s="3"/>
      <c r="E373" s="3"/>
    </row>
    <row r="374" spans="1:5">
      <c r="A374" s="3"/>
      <c r="B374" s="3"/>
      <c r="C374" s="3"/>
      <c r="D374" s="3"/>
      <c r="E374" s="3"/>
    </row>
    <row r="375" spans="1:5">
      <c r="A375" s="3"/>
      <c r="B375" s="3"/>
      <c r="C375" s="3"/>
      <c r="D375" s="3"/>
      <c r="E375" s="3"/>
    </row>
    <row r="376" spans="1:5">
      <c r="A376" s="3"/>
      <c r="B376" s="3"/>
      <c r="C376" s="3"/>
      <c r="D376" s="3"/>
      <c r="E376" s="3"/>
    </row>
    <row r="377" spans="1:5">
      <c r="A377" s="3"/>
      <c r="B377" s="3"/>
      <c r="C377" s="3"/>
      <c r="D377" s="3"/>
      <c r="E377" s="3"/>
    </row>
    <row r="378" spans="1:5">
      <c r="A378" s="3"/>
      <c r="B378" s="3"/>
      <c r="C378" s="3"/>
      <c r="D378" s="3"/>
      <c r="E378" s="3"/>
    </row>
    <row r="379" spans="1:5">
      <c r="A379" s="3"/>
      <c r="B379" s="3"/>
      <c r="C379" s="3"/>
      <c r="D379" s="3"/>
      <c r="E379" s="3"/>
    </row>
    <row r="380" spans="1:5">
      <c r="A380" s="3"/>
      <c r="B380" s="3"/>
      <c r="C380" s="3"/>
      <c r="D380" s="3"/>
      <c r="E380" s="3"/>
    </row>
    <row r="381" spans="1:5">
      <c r="A381" s="3"/>
      <c r="B381" s="3"/>
      <c r="C381" s="3"/>
      <c r="D381" s="3"/>
      <c r="E381" s="3"/>
    </row>
    <row r="382" spans="1:5">
      <c r="A382" s="3"/>
      <c r="B382" s="3"/>
      <c r="C382" s="3"/>
      <c r="D382" s="3"/>
      <c r="E382" s="3"/>
    </row>
    <row r="383" spans="1:5">
      <c r="A383" s="3"/>
      <c r="B383" s="3"/>
      <c r="C383" s="3"/>
      <c r="D383" s="3"/>
      <c r="E383" s="3"/>
    </row>
    <row r="384" spans="1:5">
      <c r="A384" s="3"/>
      <c r="B384" s="3"/>
      <c r="C384" s="3"/>
      <c r="D384" s="3"/>
      <c r="E384" s="3"/>
    </row>
    <row r="385" spans="1:5">
      <c r="A385" s="3"/>
      <c r="B385" s="3"/>
      <c r="C385" s="3"/>
      <c r="D385" s="3"/>
      <c r="E385" s="3"/>
    </row>
    <row r="386" spans="1:5">
      <c r="A386" s="3"/>
      <c r="B386" s="3"/>
      <c r="C386" s="3"/>
      <c r="D386" s="3"/>
      <c r="E386" s="3"/>
    </row>
    <row r="387" spans="1:5">
      <c r="A387" s="3"/>
      <c r="B387" s="3"/>
      <c r="C387" s="3"/>
      <c r="D387" s="3"/>
      <c r="E387" s="3"/>
    </row>
    <row r="388" spans="1:5">
      <c r="A388" s="3"/>
      <c r="B388" s="3"/>
      <c r="C388" s="3"/>
      <c r="D388" s="3"/>
      <c r="E388" s="3"/>
    </row>
    <row r="389" spans="1:5">
      <c r="A389" s="3"/>
      <c r="B389" s="3"/>
      <c r="C389" s="3"/>
      <c r="D389" s="3"/>
      <c r="E389" s="3"/>
    </row>
    <row r="390" spans="1:5">
      <c r="A390" s="3"/>
      <c r="B390" s="3"/>
      <c r="C390" s="3"/>
      <c r="D390" s="3"/>
      <c r="E390" s="3"/>
    </row>
    <row r="391" spans="1:5">
      <c r="A391" s="3"/>
      <c r="B391" s="3"/>
      <c r="C391" s="3"/>
      <c r="D391" s="3"/>
      <c r="E391" s="3"/>
    </row>
    <row r="392" spans="1:5">
      <c r="A392" s="3"/>
      <c r="B392" s="3"/>
      <c r="C392" s="3"/>
      <c r="D392" s="3"/>
      <c r="E392" s="3"/>
    </row>
    <row r="393" spans="1:5">
      <c r="A393" s="3"/>
      <c r="B393" s="3"/>
      <c r="C393" s="3"/>
      <c r="D393" s="3"/>
      <c r="E393" s="3"/>
    </row>
    <row r="394" spans="1:5">
      <c r="A394" s="3"/>
      <c r="B394" s="3"/>
      <c r="C394" s="3"/>
      <c r="D394" s="3"/>
      <c r="E394" s="3"/>
    </row>
    <row r="395" spans="1:5">
      <c r="A395" s="3"/>
      <c r="B395" s="3"/>
      <c r="C395" s="3"/>
      <c r="D395" s="3"/>
      <c r="E395" s="3"/>
    </row>
    <row r="396" spans="1:5">
      <c r="A396" s="3"/>
      <c r="B396" s="3"/>
      <c r="C396" s="3"/>
      <c r="D396" s="3"/>
      <c r="E396" s="3"/>
    </row>
    <row r="397" spans="1:5">
      <c r="A397" s="3"/>
      <c r="B397" s="3"/>
      <c r="C397" s="3"/>
      <c r="D397" s="3"/>
      <c r="E397" s="3"/>
    </row>
    <row r="398" spans="1:5">
      <c r="A398" s="3"/>
      <c r="B398" s="3"/>
      <c r="C398" s="3"/>
      <c r="D398" s="3"/>
      <c r="E398" s="3"/>
    </row>
    <row r="399" spans="1:5">
      <c r="A399" s="3"/>
      <c r="B399" s="3"/>
      <c r="C399" s="3"/>
      <c r="D399" s="3"/>
      <c r="E399" s="3"/>
    </row>
    <row r="400" spans="1:5">
      <c r="A400" s="3"/>
      <c r="B400" s="3"/>
      <c r="C400" s="3"/>
      <c r="D400" s="3"/>
      <c r="E400" s="3"/>
    </row>
    <row r="401" spans="1:5">
      <c r="A401" s="3"/>
      <c r="B401" s="3"/>
      <c r="C401" s="3"/>
      <c r="D401" s="3"/>
      <c r="E401" s="3"/>
    </row>
    <row r="402" spans="1:5">
      <c r="A402" s="3"/>
      <c r="B402" s="3"/>
      <c r="C402" s="3"/>
      <c r="D402" s="3"/>
      <c r="E402" s="3"/>
    </row>
    <row r="403" spans="1:5">
      <c r="A403" s="3"/>
      <c r="B403" s="3"/>
      <c r="C403" s="3"/>
      <c r="D403" s="3"/>
      <c r="E403" s="3"/>
    </row>
    <row r="404" spans="1:5">
      <c r="A404" s="3"/>
      <c r="B404" s="3"/>
      <c r="C404" s="3"/>
      <c r="D404" s="3"/>
      <c r="E404" s="3"/>
    </row>
    <row r="405" spans="1:5">
      <c r="A405" s="3"/>
      <c r="B405" s="3"/>
      <c r="C405" s="3"/>
      <c r="D405" s="3"/>
      <c r="E405" s="3"/>
    </row>
    <row r="406" spans="1:5">
      <c r="A406" s="3"/>
      <c r="B406" s="3"/>
      <c r="C406" s="3"/>
      <c r="D406" s="3"/>
      <c r="E406" s="3"/>
    </row>
    <row r="407" spans="1:5">
      <c r="A407" s="3"/>
      <c r="B407" s="3"/>
      <c r="C407" s="3"/>
      <c r="D407" s="3"/>
      <c r="E407" s="3"/>
    </row>
    <row r="408" spans="1:5">
      <c r="A408" s="3"/>
      <c r="B408" s="3"/>
      <c r="C408" s="3"/>
      <c r="D408" s="3"/>
      <c r="E408" s="3"/>
    </row>
    <row r="409" spans="1:5">
      <c r="A409" s="3"/>
      <c r="B409" s="3"/>
      <c r="C409" s="3"/>
      <c r="D409" s="3"/>
      <c r="E409" s="3"/>
    </row>
    <row r="410" spans="1:5">
      <c r="A410" s="3"/>
      <c r="B410" s="3"/>
      <c r="C410" s="3"/>
      <c r="D410" s="3"/>
      <c r="E410" s="3"/>
    </row>
    <row r="411" spans="1:5">
      <c r="A411" s="3"/>
      <c r="B411" s="3"/>
      <c r="C411" s="3"/>
      <c r="D411" s="3"/>
      <c r="E411" s="3"/>
    </row>
    <row r="412" spans="1:5">
      <c r="A412" s="3"/>
      <c r="B412" s="3"/>
      <c r="C412" s="3"/>
      <c r="D412" s="3"/>
      <c r="E412" s="3"/>
    </row>
    <row r="413" spans="1:5">
      <c r="A413" s="3"/>
      <c r="B413" s="3"/>
      <c r="C413" s="3"/>
      <c r="D413" s="3"/>
      <c r="E413" s="3"/>
    </row>
    <row r="414" spans="1:5">
      <c r="A414" s="3"/>
      <c r="B414" s="3"/>
      <c r="C414" s="3"/>
      <c r="D414" s="3"/>
      <c r="E414" s="3"/>
    </row>
    <row r="415" spans="1:5">
      <c r="A415" s="3"/>
      <c r="B415" s="3"/>
      <c r="C415" s="3"/>
      <c r="D415" s="3"/>
      <c r="E415" s="3"/>
    </row>
    <row r="416" spans="1:5">
      <c r="A416" s="3"/>
      <c r="B416" s="3"/>
      <c r="C416" s="3"/>
      <c r="D416" s="3"/>
      <c r="E416" s="3"/>
    </row>
    <row r="417" spans="1:5">
      <c r="A417" s="3"/>
      <c r="B417" s="3"/>
      <c r="C417" s="3"/>
      <c r="D417" s="3"/>
      <c r="E417" s="3"/>
    </row>
    <row r="418" spans="1:5">
      <c r="A418" s="3"/>
      <c r="B418" s="3"/>
      <c r="C418" s="3"/>
      <c r="D418" s="3"/>
      <c r="E418" s="3"/>
    </row>
    <row r="419" spans="1:5">
      <c r="A419" s="3"/>
      <c r="B419" s="3"/>
      <c r="C419" s="3"/>
      <c r="D419" s="3"/>
      <c r="E419" s="3"/>
    </row>
    <row r="420" spans="1:5">
      <c r="A420" s="3"/>
      <c r="B420" s="3"/>
      <c r="C420" s="3"/>
      <c r="D420" s="3"/>
      <c r="E420" s="3"/>
    </row>
    <row r="421" spans="1:5">
      <c r="A421" s="3"/>
      <c r="B421" s="3"/>
      <c r="C421" s="3"/>
      <c r="D421" s="3"/>
      <c r="E421" s="3"/>
    </row>
    <row r="422" spans="1:5">
      <c r="A422" s="3"/>
      <c r="B422" s="3"/>
      <c r="C422" s="3"/>
      <c r="D422" s="3"/>
      <c r="E422" s="3"/>
    </row>
    <row r="423" spans="1:5">
      <c r="A423" s="3"/>
      <c r="B423" s="3"/>
      <c r="C423" s="3"/>
      <c r="D423" s="3"/>
      <c r="E423" s="3"/>
    </row>
    <row r="424" spans="1:5">
      <c r="A424" s="3"/>
      <c r="B424" s="3"/>
      <c r="C424" s="3"/>
      <c r="D424" s="3"/>
      <c r="E424" s="3"/>
    </row>
    <row r="425" spans="1:5">
      <c r="A425" s="3"/>
      <c r="B425" s="3"/>
      <c r="C425" s="3"/>
      <c r="D425" s="3"/>
      <c r="E425" s="3"/>
    </row>
    <row r="426" spans="1:5">
      <c r="A426" s="3"/>
      <c r="B426" s="3"/>
      <c r="C426" s="3"/>
      <c r="D426" s="3"/>
      <c r="E426" s="3"/>
    </row>
    <row r="427" spans="1:5">
      <c r="A427" s="3"/>
      <c r="B427" s="3"/>
      <c r="C427" s="3"/>
      <c r="D427" s="3"/>
      <c r="E427" s="3"/>
    </row>
    <row r="428" spans="1:5">
      <c r="A428" s="3"/>
      <c r="B428" s="3"/>
      <c r="C428" s="3"/>
      <c r="D428" s="3"/>
      <c r="E428" s="3"/>
    </row>
    <row r="429" spans="1:5">
      <c r="A429" s="3"/>
      <c r="B429" s="3"/>
      <c r="C429" s="3"/>
      <c r="D429" s="3"/>
      <c r="E429" s="3"/>
    </row>
    <row r="430" spans="1:5">
      <c r="A430" s="3"/>
      <c r="B430" s="3"/>
      <c r="C430" s="3"/>
      <c r="D430" s="3"/>
      <c r="E430" s="3"/>
    </row>
    <row r="431" spans="1:5">
      <c r="A431" s="3"/>
      <c r="B431" s="3"/>
      <c r="C431" s="3"/>
      <c r="D431" s="3"/>
      <c r="E431" s="3"/>
    </row>
    <row r="432" spans="1:5">
      <c r="A432" s="3"/>
      <c r="B432" s="3"/>
      <c r="C432" s="3"/>
      <c r="D432" s="3"/>
      <c r="E432" s="3"/>
    </row>
    <row r="433" spans="1:5">
      <c r="A433" s="3"/>
      <c r="B433" s="3"/>
      <c r="C433" s="3"/>
      <c r="D433" s="3"/>
      <c r="E433" s="3"/>
    </row>
    <row r="434" spans="1:5">
      <c r="A434" s="3"/>
      <c r="B434" s="3"/>
      <c r="C434" s="3"/>
      <c r="D434" s="3"/>
      <c r="E434" s="3"/>
    </row>
    <row r="435" spans="1:5">
      <c r="A435" s="3"/>
      <c r="B435" s="3"/>
      <c r="C435" s="3"/>
      <c r="D435" s="3"/>
      <c r="E435" s="3"/>
    </row>
    <row r="436" spans="1:5">
      <c r="A436" s="3"/>
      <c r="B436" s="3"/>
      <c r="C436" s="3"/>
      <c r="D436" s="3"/>
      <c r="E436" s="3"/>
    </row>
    <row r="437" spans="1:5">
      <c r="A437" s="3"/>
      <c r="B437" s="3"/>
      <c r="C437" s="3"/>
      <c r="D437" s="3"/>
      <c r="E437" s="3"/>
    </row>
    <row r="438" spans="1:5">
      <c r="A438" s="3"/>
      <c r="B438" s="3"/>
      <c r="C438" s="3"/>
      <c r="D438" s="3"/>
      <c r="E438" s="3"/>
    </row>
    <row r="439" spans="1:5">
      <c r="A439" s="3"/>
      <c r="B439" s="3"/>
      <c r="C439" s="3"/>
      <c r="D439" s="3"/>
      <c r="E439" s="3"/>
    </row>
    <row r="440" spans="1:5">
      <c r="A440" s="3"/>
      <c r="B440" s="3"/>
      <c r="C440" s="3"/>
      <c r="D440" s="3"/>
      <c r="E440" s="3"/>
    </row>
    <row r="441" spans="1:5">
      <c r="A441" s="3"/>
      <c r="B441" s="3"/>
      <c r="C441" s="3"/>
      <c r="D441" s="3"/>
      <c r="E441" s="3"/>
    </row>
    <row r="442" spans="1:5">
      <c r="A442" s="3"/>
      <c r="B442" s="3"/>
      <c r="C442" s="3"/>
      <c r="D442" s="3"/>
      <c r="E442" s="3"/>
    </row>
    <row r="443" spans="1:5">
      <c r="A443" s="3"/>
      <c r="B443" s="3"/>
      <c r="C443" s="3"/>
      <c r="D443" s="3"/>
      <c r="E443" s="3"/>
    </row>
    <row r="444" spans="1:5">
      <c r="A444" s="3"/>
      <c r="B444" s="3"/>
      <c r="C444" s="3"/>
      <c r="D444" s="3"/>
      <c r="E444" s="3"/>
    </row>
    <row r="445" spans="1:5">
      <c r="A445" s="3"/>
      <c r="B445" s="3"/>
      <c r="C445" s="3"/>
      <c r="D445" s="3"/>
      <c r="E445" s="3"/>
    </row>
    <row r="446" spans="1:5">
      <c r="A446" s="3"/>
      <c r="B446" s="3"/>
      <c r="C446" s="3"/>
      <c r="D446" s="3"/>
      <c r="E446" s="3"/>
    </row>
    <row r="447" spans="1:5">
      <c r="A447" s="3"/>
      <c r="B447" s="3"/>
      <c r="C447" s="3"/>
      <c r="D447" s="3"/>
      <c r="E447" s="3"/>
    </row>
    <row r="448" spans="1:5">
      <c r="A448" s="3"/>
      <c r="B448" s="3"/>
      <c r="C448" s="3"/>
      <c r="D448" s="3"/>
      <c r="E448" s="3"/>
    </row>
    <row r="449" spans="1:5">
      <c r="A449" s="3"/>
      <c r="B449" s="3"/>
      <c r="C449" s="3"/>
      <c r="D449" s="3"/>
      <c r="E449" s="3"/>
    </row>
    <row r="450" spans="1:5">
      <c r="A450" s="3"/>
      <c r="B450" s="3"/>
      <c r="C450" s="3"/>
      <c r="D450" s="3"/>
      <c r="E450" s="3"/>
    </row>
    <row r="451" spans="1:5">
      <c r="A451" s="3"/>
      <c r="B451" s="3"/>
      <c r="C451" s="3"/>
      <c r="D451" s="3"/>
      <c r="E451" s="3"/>
    </row>
    <row r="452" spans="1:5">
      <c r="A452" s="3"/>
      <c r="B452" s="3"/>
      <c r="C452" s="3"/>
      <c r="D452" s="3"/>
      <c r="E452" s="3"/>
    </row>
    <row r="453" spans="1:5">
      <c r="A453" s="3"/>
      <c r="B453" s="3"/>
      <c r="C453" s="3"/>
      <c r="D453" s="3"/>
      <c r="E453" s="3"/>
    </row>
    <row r="454" spans="1:5">
      <c r="A454" s="3"/>
      <c r="B454" s="3"/>
      <c r="C454" s="3"/>
      <c r="D454" s="3"/>
      <c r="E454" s="3"/>
    </row>
    <row r="455" spans="1:5">
      <c r="A455" s="3"/>
      <c r="B455" s="3"/>
      <c r="C455" s="3"/>
      <c r="D455" s="3"/>
      <c r="E455" s="3"/>
    </row>
    <row r="456" spans="1:5">
      <c r="A456" s="3"/>
      <c r="B456" s="3"/>
      <c r="C456" s="3"/>
      <c r="D456" s="3"/>
      <c r="E456" s="3"/>
    </row>
    <row r="457" spans="1:5">
      <c r="A457" s="3"/>
      <c r="B457" s="3"/>
      <c r="C457" s="3"/>
      <c r="D457" s="3"/>
      <c r="E457" s="3"/>
    </row>
    <row r="458" spans="1:5">
      <c r="A458" s="3"/>
      <c r="B458" s="3"/>
      <c r="C458" s="3"/>
      <c r="D458" s="3"/>
      <c r="E458" s="3"/>
    </row>
    <row r="459" spans="1:5">
      <c r="A459" s="3"/>
      <c r="B459" s="3"/>
      <c r="C459" s="3"/>
      <c r="D459" s="3"/>
      <c r="E459" s="3"/>
    </row>
    <row r="460" spans="1:5">
      <c r="A460" s="3"/>
      <c r="B460" s="3"/>
      <c r="C460" s="3"/>
      <c r="D460" s="3"/>
      <c r="E460" s="3"/>
    </row>
    <row r="461" spans="1:5">
      <c r="A461" s="3"/>
      <c r="B461" s="3"/>
      <c r="C461" s="3"/>
      <c r="D461" s="3"/>
      <c r="E461" s="3"/>
    </row>
    <row r="462" spans="1:5">
      <c r="A462" s="3"/>
      <c r="B462" s="3"/>
      <c r="C462" s="3"/>
      <c r="D462" s="3"/>
      <c r="E462" s="3"/>
    </row>
    <row r="463" spans="1:5">
      <c r="A463" s="3"/>
      <c r="B463" s="3"/>
      <c r="C463" s="3"/>
      <c r="D463" s="3"/>
      <c r="E463" s="3"/>
    </row>
    <row r="464" spans="1:5">
      <c r="A464" s="3"/>
      <c r="B464" s="3"/>
      <c r="C464" s="3"/>
      <c r="D464" s="3"/>
      <c r="E464" s="3"/>
    </row>
    <row r="465" spans="1:5">
      <c r="A465" s="3"/>
      <c r="B465" s="3"/>
      <c r="C465" s="3"/>
      <c r="D465" s="3"/>
      <c r="E465" s="3"/>
    </row>
    <row r="466" spans="1:5">
      <c r="A466" s="3"/>
      <c r="B466" s="3"/>
      <c r="C466" s="3"/>
      <c r="D466" s="3"/>
      <c r="E466" s="3"/>
    </row>
    <row r="467" spans="1:5">
      <c r="A467" s="3"/>
      <c r="B467" s="3"/>
      <c r="C467" s="3"/>
      <c r="D467" s="3"/>
      <c r="E467" s="3"/>
    </row>
    <row r="468" spans="1:5">
      <c r="A468" s="3"/>
      <c r="B468" s="3"/>
      <c r="C468" s="3"/>
      <c r="D468" s="3"/>
      <c r="E468" s="3"/>
    </row>
    <row r="469" spans="1:5">
      <c r="A469" s="3"/>
      <c r="B469" s="3"/>
      <c r="C469" s="3"/>
      <c r="D469" s="3"/>
      <c r="E469" s="3"/>
    </row>
    <row r="470" spans="1:5">
      <c r="A470" s="3"/>
      <c r="B470" s="3"/>
      <c r="C470" s="3"/>
      <c r="D470" s="3"/>
      <c r="E470" s="3"/>
    </row>
    <row r="471" spans="1:5">
      <c r="A471" s="3"/>
      <c r="B471" s="3"/>
      <c r="C471" s="3"/>
      <c r="D471" s="3"/>
      <c r="E471" s="3"/>
    </row>
    <row r="472" spans="1:5">
      <c r="A472" s="3"/>
      <c r="B472" s="3"/>
      <c r="C472" s="3"/>
      <c r="D472" s="3"/>
      <c r="E472" s="3"/>
    </row>
    <row r="473" spans="1:5">
      <c r="A473" s="3"/>
      <c r="B473" s="3"/>
      <c r="C473" s="3"/>
      <c r="D473" s="3"/>
      <c r="E473" s="3"/>
    </row>
    <row r="474" spans="1:5">
      <c r="A474" s="3"/>
      <c r="B474" s="3"/>
      <c r="C474" s="3"/>
      <c r="D474" s="3"/>
      <c r="E474" s="3"/>
    </row>
    <row r="475" spans="1:5">
      <c r="A475" s="3"/>
      <c r="B475" s="3"/>
      <c r="C475" s="3"/>
      <c r="D475" s="3"/>
      <c r="E475" s="3"/>
    </row>
    <row r="476" spans="1:5">
      <c r="A476" s="3"/>
      <c r="B476" s="3"/>
      <c r="C476" s="3"/>
      <c r="D476" s="3"/>
      <c r="E476" s="3"/>
    </row>
    <row r="477" spans="1:5">
      <c r="A477" s="3"/>
      <c r="B477" s="3"/>
      <c r="C477" s="3"/>
      <c r="D477" s="3"/>
      <c r="E477" s="3"/>
    </row>
    <row r="478" spans="1:5">
      <c r="A478" s="3"/>
      <c r="B478" s="3"/>
      <c r="C478" s="3"/>
      <c r="D478" s="3"/>
      <c r="E478" s="3"/>
    </row>
    <row r="479" spans="1:5">
      <c r="A479" s="3"/>
      <c r="B479" s="3"/>
      <c r="C479" s="3"/>
      <c r="D479" s="3"/>
      <c r="E479" s="3"/>
    </row>
    <row r="480" spans="1:5">
      <c r="A480" s="3"/>
      <c r="B480" s="3"/>
      <c r="C480" s="3"/>
      <c r="D480" s="3"/>
      <c r="E480" s="3"/>
    </row>
    <row r="481" spans="1:5">
      <c r="A481" s="3"/>
      <c r="B481" s="3"/>
      <c r="C481" s="3"/>
      <c r="D481" s="3"/>
      <c r="E481" s="3"/>
    </row>
    <row r="482" spans="1:5">
      <c r="A482" s="3"/>
      <c r="B482" s="3"/>
      <c r="C482" s="3"/>
      <c r="D482" s="3"/>
      <c r="E482" s="3"/>
    </row>
    <row r="483" spans="1:5">
      <c r="A483" s="3"/>
      <c r="B483" s="3"/>
      <c r="C483" s="3"/>
      <c r="D483" s="3"/>
      <c r="E483" s="3"/>
    </row>
    <row r="484" spans="1:5">
      <c r="A484" s="3"/>
      <c r="B484" s="3"/>
      <c r="C484" s="3"/>
      <c r="D484" s="3"/>
      <c r="E484" s="3"/>
    </row>
    <row r="485" spans="1:5">
      <c r="A485" s="3"/>
      <c r="B485" s="3"/>
      <c r="C485" s="3"/>
      <c r="D485" s="3"/>
      <c r="E485" s="3"/>
    </row>
    <row r="486" spans="1:5">
      <c r="A486" s="3"/>
      <c r="B486" s="3"/>
      <c r="C486" s="3"/>
      <c r="D486" s="3"/>
      <c r="E486" s="3"/>
    </row>
    <row r="487" spans="1:5">
      <c r="A487" s="3"/>
      <c r="B487" s="3"/>
      <c r="C487" s="3"/>
      <c r="D487" s="3"/>
      <c r="E487" s="3"/>
    </row>
  </sheetData>
  <pageMargins left="0.7" right="0.7" top="0.75" bottom="0.75" header="0.511811023622047" footer="0.511811023622047"/>
  <pageSetup paperSize="9" orientation="portrait" horizontalDpi="300" verticalDpi="300"/>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E78"/>
    <pageSetUpPr fitToPage="1"/>
  </sheetPr>
  <dimension ref="A1:E47"/>
  <sheetViews>
    <sheetView showGridLines="0" tabSelected="1" workbookViewId="0">
      <pane xSplit="1" ySplit="2" topLeftCell="B7" activePane="bottomRight" state="frozen"/>
      <selection/>
      <selection pane="topRight"/>
      <selection pane="bottomLeft"/>
      <selection pane="bottomRight" activeCell="B28" sqref="B28"/>
    </sheetView>
  </sheetViews>
  <sheetFormatPr defaultColWidth="9" defaultRowHeight="16.8" outlineLevelCol="4"/>
  <cols>
    <col min="1" max="1" width="48" customWidth="1"/>
    <col min="2" max="5" width="18" customWidth="1"/>
  </cols>
  <sheetData>
    <row r="1" ht="27" customHeight="1" spans="1:5">
      <c r="A1" s="1" t="s">
        <v>179</v>
      </c>
    </row>
    <row r="2" ht="23" customHeight="1" spans="1:5">
      <c r="A2" s="2" t="s">
        <v>0</v>
      </c>
      <c r="B2" s="2" t="str">
        <f>基本信息!B1</f>
        <v>最新一期</v>
      </c>
      <c r="C2" s="2" t="str">
        <f>基本信息!C1</f>
        <v>20xx年</v>
      </c>
      <c r="D2" s="2" t="str">
        <f>基本信息!D1</f>
        <v>20xx年</v>
      </c>
      <c r="E2" s="2" t="str">
        <f>基本信息!E1</f>
        <v>20xx年</v>
      </c>
    </row>
    <row r="3" ht="20" customHeight="1" spans="1:5">
      <c r="A3" s="26" t="s">
        <v>180</v>
      </c>
      <c r="B3" s="27">
        <f>IFERROR(INDEX(资产负债表!$B$1:$B$491,MATCH("资  产  总  计",资产负债表!$A$1:$A$491,0))/100000000,0)</f>
        <v>0</v>
      </c>
      <c r="C3" s="27">
        <f>IFERROR(INDEX(资产负债表!$C$1:$C$491,MATCH("资  产  总  计",资产负债表!$A$1:$A$491,0))/100000000,0)</f>
        <v>0</v>
      </c>
      <c r="D3" s="27">
        <f>IFERROR(INDEX(资产负债表!$D$1:$D$491,MATCH("资  产  总  计",资产负债表!$A$1:$A$491,0))/100000000,0)</f>
        <v>0</v>
      </c>
      <c r="E3" s="27">
        <f>IFERROR(INDEX(资产负债表!$E$1:$E$491,MATCH("资  产  总  计",资产负债表!$A$1:$A$491,0))/100000000,0)</f>
        <v>0</v>
      </c>
    </row>
    <row r="4" ht="20" customHeight="1" spans="1:5">
      <c r="A4" s="28" t="s">
        <v>181</v>
      </c>
      <c r="B4" s="29">
        <f>IFERROR(INDEX(资产负债表!$B$1:$B$491,MATCH("负 债 合 计",资产负债表!$A$1:$A$491,0))/100000000,0)</f>
        <v>0</v>
      </c>
      <c r="C4" s="29">
        <f>IFERROR(INDEX(资产负债表!$C$1:$C$491,MATCH("负 债 合 计",资产负债表!$A$1:$A$491,0))/100000000,0)</f>
        <v>0</v>
      </c>
      <c r="D4" s="29">
        <f>IFERROR(INDEX(资产负债表!$D$1:$D$491,MATCH("负 债 合 计",资产负债表!$A$1:$A$491,0))/100000000,0)</f>
        <v>0</v>
      </c>
      <c r="E4" s="29">
        <f>IFERROR(INDEX(资产负债表!$E$1:$E$491,MATCH("负 债 合 计",资产负债表!$A$1:$A$491,0))/100000000,0)</f>
        <v>0</v>
      </c>
    </row>
    <row r="5" ht="20" customHeight="1" spans="1:5">
      <c r="A5" s="26" t="s">
        <v>182</v>
      </c>
      <c r="B5" s="27">
        <f>IFERROR((IFERROR(INDEX(资产负债表!$B$1:$B$491,MATCH("长期借款",资产负债表!$A$1:$A$491,0)),0)+IFERROR(INDEX(资产负债表!$B$1:$B$491,MATCH("应付债券",资产负债表!$A$1:$A$491,0)),0)+IFERROR(INDEX(资产负债表!$B$1:$B$491,MATCH("短期借款",资产负债表!$A$1:$A$491,0)),0)+IFERROR(INDEX(资产负债表!$B$1:$B$491,MATCH("交易性金融负债",资产负债表!$A$1:$A$491,0)),0)+IFERROR(INDEX(资产负债表!$B$1:$B$491,MATCH("应付票据",资产负债表!$A$1:$A$491,0)),0)+IFERROR(INDEX(资产负债表!$B$1:$B$491,MATCH("应付短期债券",资产负债表!$A$1:$A$491,0)),0)+IFERROR(INDEX(资产负债表!$B$1:$B$491,MATCH("一年内到期的非流动负债",资产负债表!$A$1:$A$491,0)),0))/100000000,0)</f>
        <v>0</v>
      </c>
      <c r="C5" s="27">
        <f>IFERROR((IFERROR(INDEX(资产负债表!$C$1:$C$491,MATCH("长期借款",资产负债表!$A$1:$A$491,0)),0)+IFERROR(INDEX(资产负债表!$C$1:$C$491,MATCH("应付债券",资产负债表!$A$1:$A$491,0)),0)+IFERROR(INDEX(资产负债表!$C$1:$C$491,MATCH("短期借款",资产负债表!$A$1:$A$491,0)),0)+IFERROR(INDEX(资产负债表!$C$1:$C$491,MATCH("交易性金融负债",资产负债表!$A$1:$A$491,0)),0)+IFERROR(INDEX(资产负债表!$C$1:$C$491,MATCH("应付票据",资产负债表!$A$1:$A$491,0)),0)+IFERROR(INDEX(资产负债表!$C$1:$C$491,MATCH("应付短期债券",资产负债表!$A$1:$A$491,0)),0)+IFERROR(INDEX(资产负债表!$C$1:$C$491,MATCH("一年内到期的非流动负债",资产负债表!$A$1:$A$491,0)),0))/100000000,0)</f>
        <v>0</v>
      </c>
      <c r="D5" s="27">
        <f>IFERROR((IFERROR(INDEX(资产负债表!$D$1:$D$491,MATCH("长期借款",资产负债表!$A$1:$A$491,0)),0)+IFERROR(INDEX(资产负债表!$D$1:$D$491,MATCH("应付债券",资产负债表!$A$1:$A$491,0)),0)+IFERROR(INDEX(资产负债表!$D$1:$D$491,MATCH("短期借款",资产负债表!$A$1:$A$491,0)),0)+IFERROR(INDEX(资产负债表!$D$1:$D$491,MATCH("交易性金融负债",资产负债表!$A$1:$A$491,0)),0)+IFERROR(INDEX(资产负债表!$D$1:$D$491,MATCH("应付票据",资产负债表!$A$1:$A$491,0)),0)+IFERROR(INDEX(资产负债表!$D$1:$D$491,MATCH("应付短期债券",资产负债表!$A$1:$A$491,0)),0)+IFERROR(INDEX(资产负债表!$D$1:$D$491,MATCH("一年内到期的非流动负债",资产负债表!$A$1:$A$491,0)),0))/100000000,0)</f>
        <v>0</v>
      </c>
      <c r="E5" s="27">
        <f>IFERROR((IFERROR(INDEX(资产负债表!$E$1:$E$491,MATCH("长期借款",资产负债表!$A$1:$A$491,0)),0)+IFERROR(INDEX(资产负债表!$E$1:$E$491,MATCH("应付债券",资产负债表!$A$1:$A$491,0)),0)+IFERROR(INDEX(资产负债表!$E$1:$E$491,MATCH("短期借款",资产负债表!$A$1:$A$491,0)),0)+IFERROR(INDEX(资产负债表!$E$1:$E$491,MATCH("交易性金融负债",资产负债表!$A$1:$A$491,0)),0)+IFERROR(INDEX(资产负债表!$E$1:$E$491,MATCH("应付票据",资产负债表!$A$1:$A$491,0)),0)+IFERROR(INDEX(资产负债表!$E$1:$E$491,MATCH("应付短期债券",资产负债表!$A$1:$A$491,0)),0)+IFERROR(INDEX(资产负债表!$E$1:$E$491,MATCH("一年内到期的非流动负债",资产负债表!$A$1:$A$491,0)),0))/100000000,0)</f>
        <v>0</v>
      </c>
    </row>
    <row r="6" ht="20" customHeight="1" spans="1:5">
      <c r="A6" s="28" t="s">
        <v>183</v>
      </c>
      <c r="B6" s="29">
        <f>IFERROR(INDEX(资产负债表!$B$1:$B$491,MATCH("所有者权益(或股东权益）合计",资产负债表!$A$1:$A$491,0))/100000000,0)</f>
        <v>0</v>
      </c>
      <c r="C6" s="29">
        <f>IFERROR(INDEX(资产负债表!$C$1:$C$491,MATCH("所有者权益(或股东权益）合计",资产负债表!$A$1:$A$491,0))/100000000,0)</f>
        <v>0</v>
      </c>
      <c r="D6" s="29">
        <f>IFERROR(INDEX(资产负债表!$D$1:$D$491,MATCH("所有者权益(或股东权益）合计",资产负债表!$A$1:$A$491,0))/100000000,0)</f>
        <v>0</v>
      </c>
      <c r="E6" s="29">
        <f>IFERROR(INDEX(资产负债表!$E$1:$E$491,MATCH("所有者权益(或股东权益）合计",资产负债表!$A$1:$A$491,0))/100000000,0)</f>
        <v>0</v>
      </c>
    </row>
    <row r="7" ht="20" customHeight="1" spans="1:5">
      <c r="A7" s="26" t="s">
        <v>184</v>
      </c>
      <c r="B7" s="27">
        <f>IFERROR(INDEX(利润表!$B$1:$B$500,MATCH("一、营业总收入",利润表!$A$1:$A$500,0))/100000000,0)</f>
        <v>0</v>
      </c>
      <c r="C7" s="27">
        <f>IFERROR(INDEX(利润表!$C$1:$C$500,MATCH("一、营业总收入",利润表!$A$1:$A$500,0))/100000000,0)</f>
        <v>0</v>
      </c>
      <c r="D7" s="27">
        <f>IFERROR(INDEX(利润表!$D$1:$D$500,MATCH("一、营业总收入",利润表!$A$1:$A$500,0))/100000000,0)</f>
        <v>0</v>
      </c>
      <c r="E7" s="27">
        <f>IFERROR(INDEX(利润表!$E$1:$E$500,MATCH("一、营业总收入",利润表!$A$1:$A$500,0))/100000000,0)</f>
        <v>0</v>
      </c>
    </row>
    <row r="8" ht="20" customHeight="1" spans="1:5">
      <c r="A8" s="28" t="s">
        <v>185</v>
      </c>
      <c r="B8" s="29">
        <f>IFERROR(INDEX(利润表!$B$1:$B$500,MATCH("四、利润总额（亏损总额以“－”号填列）",利润表!$A$1:$A$500,0))/100000000,0)</f>
        <v>0</v>
      </c>
      <c r="C8" s="29">
        <f>IFERROR(INDEX(利润表!$C$1:$C$500,MATCH("四、利润总额（亏损总额以“－”号填列）",利润表!$A$1:$A$500,0))/100000000,0)</f>
        <v>0</v>
      </c>
      <c r="D8" s="29">
        <f>IFERROR(INDEX(利润表!$D$1:$D$500,MATCH("四、利润总额（亏损总额以“－”号填列）",利润表!$A$1:$A$500,0))/100000000,0)</f>
        <v>0</v>
      </c>
      <c r="E8" s="29">
        <f>IFERROR(INDEX(利润表!$E$1:$E$500,MATCH("四、利润总额（亏损总额以“－”号填列）",利润表!$A$1:$A$500,0))/100000000,0)</f>
        <v>0</v>
      </c>
    </row>
    <row r="9" ht="20" customHeight="1" spans="1:5">
      <c r="A9" s="26" t="s">
        <v>186</v>
      </c>
      <c r="B9" s="27">
        <f>IFERROR(INDEX(利润表!$B$1:$B$500,MATCH("五、净利润（净亏损以“－”号填列）",利润表!$A$1:$A$500,0))/100000000,0)</f>
        <v>0</v>
      </c>
      <c r="C9" s="27">
        <f>IFERROR(INDEX(利润表!$C$1:$C$500,MATCH("五、净利润（净亏损以“－”号填列）",利润表!$A$1:$A$500,0))/100000000,0)</f>
        <v>0</v>
      </c>
      <c r="D9" s="27">
        <f>IFERROR(INDEX(利润表!$D$1:$D$500,MATCH("五、净利润（净亏损以“－”号填列）",利润表!$A$1:$A$500,0))/100000000,0)</f>
        <v>0</v>
      </c>
      <c r="E9" s="27">
        <f>IFERROR(INDEX(利润表!$E$1:$E$500,MATCH("五、净利润（净亏损以“－”号填列）",利润表!$A$1:$A$500,0))/100000000,0)</f>
        <v>0</v>
      </c>
    </row>
    <row r="10" ht="20" customHeight="1" spans="1:5">
      <c r="A10" s="28" t="s">
        <v>187</v>
      </c>
      <c r="B10" s="29">
        <f>IFERROR(INDEX(补充资料表!$B$1:$B$500,MATCH("扣除非经常性损益后净利润",补充资料表!$A$1:$A$500,0))/100000000,0)</f>
        <v>0</v>
      </c>
      <c r="C10" s="29">
        <f>IFERROR(INDEX(补充资料表!$C$1:$C$500,MATCH("扣除非经常性损益后净利润",补充资料表!$A$1:$A$500,0))/100000000,0)</f>
        <v>0</v>
      </c>
      <c r="D10" s="29">
        <f>IFERROR(INDEX(补充资料表!$D$1:$D$500,MATCH("扣除非经常性损益后净利润",补充资料表!$A$1:$A$500,0))/100000000,0)</f>
        <v>0</v>
      </c>
      <c r="E10" s="29">
        <f>IFERROR(INDEX(补充资料表!$E$1:$E$500,MATCH("扣除非经常性损益后净利润",补充资料表!$A$1:$A$500,0))/100000000,0)</f>
        <v>0</v>
      </c>
    </row>
    <row r="11" ht="20" customHeight="1" spans="1:5">
      <c r="A11" s="26" t="s">
        <v>188</v>
      </c>
      <c r="B11" s="27">
        <f>IFERROR(INDEX(利润表!$B$1:$B$500,MATCH("归属于母公司所有者的净利润",利润表!$A$1:$A$500,0))/100000000,0)</f>
        <v>0</v>
      </c>
      <c r="C11" s="27">
        <f>IFERROR(INDEX(利润表!$C$1:$C$500,MATCH("归属于母公司所有者的净利润",利润表!$A$1:$A$500,0))/100000000,0)</f>
        <v>0</v>
      </c>
      <c r="D11" s="27">
        <f>IFERROR(INDEX(利润表!$D$1:$D$500,MATCH("归属于母公司所有者的净利润",利润表!$A$1:$A$500,0))/100000000,0)</f>
        <v>0</v>
      </c>
      <c r="E11" s="27">
        <f>IFERROR(INDEX(利润表!$E$1:$E$500,MATCH("归属于母公司所有者的净利润",利润表!$A$1:$A$500,0))/100000000,0)</f>
        <v>0</v>
      </c>
    </row>
    <row r="12" ht="20" customHeight="1" spans="1:5">
      <c r="A12" s="28" t="s">
        <v>189</v>
      </c>
      <c r="B12" s="29">
        <f>IFERROR(INDEX(现金流量表!$B$1:$B$500,MATCH("经营活动产生的现金流量净额",现金流量表!$A$1:$A$500,0))/100000000,0)</f>
        <v>0</v>
      </c>
      <c r="C12" s="29">
        <f>IFERROR(INDEX(现金流量表!$C$1:$C$500,MATCH("经营活动产生的现金流量净额",现金流量表!$A$1:$A$500,0))/100000000,0)</f>
        <v>0</v>
      </c>
      <c r="D12" s="29">
        <f>IFERROR(INDEX(现金流量表!$D$1:$D$500,MATCH("经营活动产生的现金流量净额",现金流量表!$A$1:$A$500,0))/100000000,0)</f>
        <v>0</v>
      </c>
      <c r="E12" s="29">
        <f>IFERROR(INDEX(现金流量表!$E$1:$E$500,MATCH("经营活动产生的现金流量净额",现金流量表!$A$1:$A$500,0))/100000000,0)</f>
        <v>0</v>
      </c>
    </row>
    <row r="13" ht="20" customHeight="1" spans="1:5">
      <c r="A13" s="26" t="s">
        <v>190</v>
      </c>
      <c r="B13" s="27">
        <f>IFERROR(INDEX(现金流量表!$B$1:$B$500,MATCH("投资活动产生的现金流量净额",现金流量表!$A$1:$A$500,0))/100000000,0)</f>
        <v>0</v>
      </c>
      <c r="C13" s="27">
        <f>IFERROR(INDEX(现金流量表!$C$1:$C$500,MATCH("投资活动产生的现金流量净额",现金流量表!$A$1:$A$500,0))/100000000,0)</f>
        <v>0</v>
      </c>
      <c r="D13" s="27">
        <f>IFERROR(INDEX(现金流量表!$D$1:$D$500,MATCH("投资活动产生的现金流量净额",现金流量表!$A$1:$A$500,0))/100000000,0)</f>
        <v>0</v>
      </c>
      <c r="E13" s="27">
        <f>IFERROR(INDEX(现金流量表!$E$1:$E$500,MATCH("投资活动产生的现金流量净额",现金流量表!$A$1:$A$500,0))/100000000,0)</f>
        <v>0</v>
      </c>
    </row>
    <row r="14" ht="20" customHeight="1" spans="1:5">
      <c r="A14" s="28" t="s">
        <v>191</v>
      </c>
      <c r="B14" s="29">
        <f>IFERROR(INDEX(现金流量表!$B$1:$B$500,MATCH("筹资活动产生的现金流量净额",现金流量表!$A$1:$A$500,0))/100000000,0)</f>
        <v>0</v>
      </c>
      <c r="C14" s="29">
        <f>IFERROR(INDEX(现金流量表!$C$1:$C$500,MATCH("筹资活动产生的现金流量净额",现金流量表!$A$1:$A$500,0))/100000000,0)</f>
        <v>0</v>
      </c>
      <c r="D14" s="29">
        <f>IFERROR(INDEX(现金流量表!$D$1:$D$500,MATCH("筹资活动产生的现金流量净额",现金流量表!$A$1:$A$500,0))/100000000,0)</f>
        <v>0</v>
      </c>
      <c r="E14" s="29">
        <f>IFERROR(INDEX(现金流量表!$E$1:$E$500,MATCH("筹资活动产生的现金流量净额",现金流量表!$A$1:$A$500,0))/100000000,0)</f>
        <v>0</v>
      </c>
    </row>
    <row r="15" ht="20" customHeight="1" spans="1:5">
      <c r="A15" s="28" t="s">
        <v>192</v>
      </c>
      <c r="B15" s="11">
        <f>IFERROR(INDEX(资产负债表!$B$1:$B$491,MATCH("流动资产合计",资产负债表!$A$1:$A$491,0))/INDEX(资产负债表!$B$1:$B$491,MATCH("流动负债合计",资产负债表!$A$1:$A$491,0)),0)</f>
        <v>0</v>
      </c>
      <c r="C15" s="11">
        <f>IFERROR(INDEX(资产负债表!$C$1:$C$491,MATCH("流动资产合计",资产负债表!$A$1:$A$491,0))/INDEX(资产负债表!$C$1:$C$491,MATCH("流动负债合计",资产负债表!$A$1:$A$491,0)),0)</f>
        <v>0</v>
      </c>
      <c r="D15" s="11">
        <f>IFERROR(INDEX(资产负债表!$D$1:$D$491,MATCH("流动资产合计",资产负债表!$A$1:$A$491,0))/INDEX(资产负债表!$D$1:$D$491,MATCH("流动负债合计",资产负债表!$A$1:$A$491,0)),0)</f>
        <v>0</v>
      </c>
      <c r="E15" s="11">
        <f>IFERROR(INDEX(资产负债表!$E$1:$E$491,MATCH("流动资产合计",资产负债表!$A$1:$A$491,0))/INDEX(资产负债表!$E$1:$E$491,MATCH("流动负债合计",资产负债表!$A$1:$A$491,0)),0)</f>
        <v>0</v>
      </c>
    </row>
    <row r="16" ht="20" customHeight="1" spans="1:5">
      <c r="A16" s="26" t="s">
        <v>193</v>
      </c>
      <c r="B16" s="9">
        <f>IFERROR((INDEX(资产负债表!$B$1:$B$491,MATCH("流动资产合计",资产负债表!$A$1:$A$491,0))-INDEX(资产负债表!$B$1:$B$491,MATCH("存货",资产负债表!$A$1:$A$491,0)))/INDEX(资产负债表!$B$1:$B$491,MATCH("流动负债合计",资产负债表!$A$1:$A$491,0)),0)</f>
        <v>0</v>
      </c>
      <c r="C16" s="9">
        <f>IFERROR((INDEX(资产负债表!$C$1:$C$491,MATCH("流动资产合计",资产负债表!$A$1:$A$491,0))-INDEX(资产负债表!$C$1:$C$491,MATCH("存货",资产负债表!$A$1:$A$491,0)))/INDEX(资产负债表!$C$1:$C$491,MATCH("流动负债合计",资产负债表!$A$1:$A$491,0)),0)</f>
        <v>0</v>
      </c>
      <c r="D16" s="9">
        <f>IFERROR((INDEX(资产负债表!$D$1:$D$491,MATCH("流动资产合计",资产负债表!$A$1:$A$491,0))-INDEX(资产负债表!$D$1:$D$491,MATCH("存货",资产负债表!$A$1:$A$491,0)))/INDEX(资产负债表!$D$1:$D$491,MATCH("流动负债合计",资产负债表!$A$1:$A$491,0)),0)</f>
        <v>0</v>
      </c>
      <c r="E16" s="9">
        <f>IFERROR((INDEX(资产负债表!$E$1:$E$491,MATCH("流动资产合计",资产负债表!$A$1:$A$491,0))-INDEX(资产负债表!$E$1:$E$491,MATCH("存货",资产负债表!$A$1:$A$491,0)))/INDEX(资产负债表!$E$1:$E$491,MATCH("流动负债合计",资产负债表!$A$1:$A$491,0)),0)</f>
        <v>0</v>
      </c>
    </row>
    <row r="17" ht="20" customHeight="1" spans="1:5">
      <c r="A17" s="26" t="s">
        <v>194</v>
      </c>
      <c r="B17" s="15">
        <f>IFERROR(INDEX(资产负债表!$B$1:$B$491,MATCH("负 债 合 计",资产负债表!$A$1:$A$491,0))/INDEX(资产负债表!$B$1:$B$491,MATCH("资  产  总  计",资产负债表!$A$1:$A$491,0)),0)</f>
        <v>0</v>
      </c>
      <c r="C17" s="15">
        <f>IFERROR(INDEX(资产负债表!$C$1:$C$491,MATCH("负 债 合 计",资产负债表!$A$1:$A$491,0))/INDEX(资产负债表!$C$1:$C$491,MATCH("资  产  总  计",资产负债表!$A$1:$A$491,0)),0)</f>
        <v>0</v>
      </c>
      <c r="D17" s="15">
        <f>IFERROR(INDEX(资产负债表!$D$1:$D$491,MATCH("负 债 合 计",资产负债表!$A$1:$A$491,0))/INDEX(资产负债表!$D$1:$D$491,MATCH("资  产  总  计",资产负债表!$A$1:$A$491,0)),0)</f>
        <v>0</v>
      </c>
      <c r="E17" s="15">
        <f>IFERROR(INDEX(资产负债表!$E$1:$E$491,MATCH("负 债 合 计",资产负债表!$A$1:$A$491,0))/INDEX(资产负债表!$E$1:$E$491,MATCH("资  产  总  计",资产负债表!$A$1:$A$491,0)),0)</f>
        <v>0</v>
      </c>
    </row>
    <row r="18" ht="20" customHeight="1" spans="1:5">
      <c r="A18" s="28" t="s">
        <v>195</v>
      </c>
      <c r="B18" s="30">
        <f>IFERROR((IFERROR(INDEX(资产负债表!$B$1:$B$491,MATCH("长期借款",资产负债表!$A$1:$A$491,0)),0)+IFERROR(INDEX(资产负债表!$B$1:$B$491,MATCH("应付债券",资产负债表!$A$1:$A$491,0)),0)+IFERROR(INDEX(资产负债表!$B$1:$B$491,MATCH("短期借款",资产负债表!$A$1:$A$491,0)),0)+IFERROR(INDEX(资产负债表!$B$1:$B$491,MATCH("交易性金融负债",资产负债表!$A$1:$A$491,0)),0)+IFERROR(INDEX(资产负债表!$B$1:$B$491,MATCH("应付票据",资产负债表!$A$1:$A$491,0)),0)+IFERROR(INDEX(资产负债表!$B$1:$B$491,MATCH("应付短期债券",资产负债表!$A$1:$A$491,0)),0)+IFERROR(INDEX(资产负债表!$B$1:$B$491,MATCH("一年内到期的非流动负债",资产负债表!$A$1:$A$491,0)),0))/((IFERROR(INDEX(资产负债表!$B$1:$B$491,MATCH("长期借款",资产负债表!$A$1:$A$491,0)),0)+IFERROR(INDEX(资产负债表!$B$1:$B$491,MATCH("应付债券",资产负债表!$A$1:$A$491,0)),0)+IFERROR(INDEX(资产负债表!$B$1:$B$491,MATCH("短期借款",资产负债表!$A$1:$A$491,0)),0)+IFERROR(INDEX(资产负债表!$B$1:$B$491,MATCH("交易性金融负债",资产负债表!$A$1:$A$491,0)),0)+IFERROR(INDEX(资产负债表!$B$1:$B$491,MATCH("应付票据",资产负债表!$A$1:$A$491,0)),0)+IFERROR(INDEX(资产负债表!$B$1:$B$491,MATCH("应付短期债券",资产负债表!$A$1:$A$491,0)),0)+IFERROR(INDEX(资产负债表!$B$1:$B$491,MATCH("一年内到期的非流动负债",资产负债表!$A$1:$A$491,0)),0))+INDEX(资产负债表!$B$1:$B$491,MATCH("所有者权益(或股东权益）合计",资产负债表!$A$1:$A$491,0))),0)</f>
        <v>0</v>
      </c>
      <c r="C18" s="30">
        <f>IFERROR((IFERROR(INDEX(资产负债表!$C$1:$C$491,MATCH("长期借款",资产负债表!$A$1:$A$491,0)),0)+IFERROR(INDEX(资产负债表!$C$1:$C$491,MATCH("应付债券",资产负债表!$A$1:$A$491,0)),0)+IFERROR(INDEX(资产负债表!$C$1:$C$491,MATCH("短期借款",资产负债表!$A$1:$A$491,0)),0)+IFERROR(INDEX(资产负债表!$C$1:$C$491,MATCH("交易性金融负债",资产负债表!$A$1:$A$491,0)),0)+IFERROR(INDEX(资产负债表!$C$1:$C$491,MATCH("应付票据",资产负债表!$A$1:$A$491,0)),0)+IFERROR(INDEX(资产负债表!$C$1:$C$491,MATCH("应付短期债券",资产负债表!$A$1:$A$491,0)),0)+IFERROR(INDEX(资产负债表!$C$1:$C$491,MATCH("一年内到期的非流动负债",资产负债表!$A$1:$A$491,0)),0))/((IFERROR(INDEX(资产负债表!$C$1:$C$491,MATCH("长期借款",资产负债表!$A$1:$A$491,0)),0)+IFERROR(INDEX(资产负债表!$C$1:$C$491,MATCH("应付债券",资产负债表!$A$1:$A$491,0)),0)+IFERROR(INDEX(资产负债表!$C$1:$C$491,MATCH("短期借款",资产负债表!$A$1:$A$491,0)),0)+IFERROR(INDEX(资产负债表!$C$1:$C$491,MATCH("交易性金融负债",资产负债表!$A$1:$A$491,0)),0)+IFERROR(INDEX(资产负债表!$C$1:$C$491,MATCH("应付票据",资产负债表!$A$1:$A$491,0)),0)+IFERROR(INDEX(资产负债表!$C$1:$C$491,MATCH("应付短期债券",资产负债表!$A$1:$A$491,0)),0)+IFERROR(INDEX(资产负债表!$C$1:$C$491,MATCH("一年内到期的非流动负债",资产负债表!$A$1:$A$491,0)),0))+INDEX(资产负债表!$C$1:$C$491,MATCH("所有者权益(或股东权益）合计",资产负债表!$A$1:$A$491,0))),0)</f>
        <v>0</v>
      </c>
      <c r="D18" s="30">
        <f>IFERROR((IFERROR(INDEX(资产负债表!$D$1:$D$491,MATCH("长期借款",资产负债表!$A$1:$A$491,0)),0)+IFERROR(INDEX(资产负债表!$D$1:$D$491,MATCH("应付债券",资产负债表!$A$1:$A$491,0)),0)+IFERROR(INDEX(资产负债表!$D$1:$D$491,MATCH("短期借款",资产负债表!$A$1:$A$491,0)),0)+IFERROR(INDEX(资产负债表!$D$1:$D$491,MATCH("交易性金融负债",资产负债表!$A$1:$A$491,0)),0)+IFERROR(INDEX(资产负债表!$D$1:$D$491,MATCH("应付票据",资产负债表!$A$1:$A$491,0)),0)+IFERROR(INDEX(资产负债表!$D$1:$D$491,MATCH("应付短期债券",资产负债表!$A$1:$A$491,0)),0)+IFERROR(INDEX(资产负债表!$D$1:$D$491,MATCH("一年内到期的非流动负债",资产负债表!$A$1:$A$491,0)),0))/((IFERROR(INDEX(资产负债表!$D$1:$D$491,MATCH("长期借款",资产负债表!$A$1:$A$491,0)),0)+IFERROR(INDEX(资产负债表!$D$1:$D$491,MATCH("应付债券",资产负债表!$A$1:$A$491,0)),0)+IFERROR(INDEX(资产负债表!$D$1:$D$491,MATCH("短期借款",资产负债表!$A$1:$A$491,0)),0)+IFERROR(INDEX(资产负债表!$D$1:$D$491,MATCH("交易性金融负债",资产负债表!$A$1:$A$491,0)),0)+IFERROR(INDEX(资产负债表!$D$1:$D$491,MATCH("应付票据",资产负债表!$A$1:$A$491,0)),0)+IFERROR(INDEX(资产负债表!$D$1:$D$491,MATCH("应付短期债券",资产负债表!$A$1:$A$491,0)),0)+IFERROR(INDEX(资产负债表!$D$1:$D$491,MATCH("一年内到期的非流动负债",资产负债表!$A$1:$A$491,0)),0))+INDEX(资产负债表!$D$1:$D$491,MATCH("所有者权益(或股东权益）合计",资产负债表!$A$1:$A$491,0))),0)</f>
        <v>0</v>
      </c>
      <c r="E18" s="30">
        <f>IFERROR((IFERROR(INDEX(资产负债表!$E$1:$E$491,MATCH("长期借款",资产负债表!$A$1:$A$491,0)),0)+IFERROR(INDEX(资产负债表!$E$1:$E$491,MATCH("应付债券",资产负债表!$A$1:$A$491,0)),0)+IFERROR(INDEX(资产负债表!$E$1:$E$491,MATCH("短期借款",资产负债表!$A$1:$A$491,0)),0)+IFERROR(INDEX(资产负债表!$E$1:$E$491,MATCH("交易性金融负债",资产负债表!$A$1:$A$491,0)),0)+IFERROR(INDEX(资产负债表!$E$1:$E$491,MATCH("应付票据",资产负债表!$A$1:$A$491,0)),0)+IFERROR(INDEX(资产负债表!$E$1:$E$491,MATCH("应付短期债券",资产负债表!$A$1:$A$491,0)),0)+IFERROR(INDEX(资产负债表!$E$1:$E$491,MATCH("一年内到期的非流动负债",资产负债表!$A$1:$A$491,0)),0))/((IFERROR(INDEX(资产负债表!$E$1:$E$491,MATCH("长期借款",资产负债表!$A$1:$A$491,0)),0)+IFERROR(INDEX(资产负债表!$E$1:$E$491,MATCH("应付债券",资产负债表!$A$1:$A$491,0)),0)+IFERROR(INDEX(资产负债表!$E$1:$E$491,MATCH("短期借款",资产负债表!$A$1:$A$491,0)),0)+IFERROR(INDEX(资产负债表!$E$1:$E$491,MATCH("交易性金融负债",资产负债表!$A$1:$A$491,0)),0)+IFERROR(INDEX(资产负债表!$E$1:$E$491,MATCH("应付票据",资产负债表!$A$1:$A$491,0)),0)+IFERROR(INDEX(资产负债表!$E$1:$E$491,MATCH("应付短期债券",资产负债表!$A$1:$A$491,0)),0)+IFERROR(INDEX(资产负债表!$E$1:$E$491,MATCH("一年内到期的非流动负债",资产负债表!$A$1:$A$491,0)),0))+INDEX(资产负债表!$E$1:$E$491,MATCH("所有者权益(或股东权益）合计",资产负债表!$A$1:$A$491,0))),0)</f>
        <v>0</v>
      </c>
    </row>
    <row r="19" ht="20" customHeight="1" spans="1:5">
      <c r="A19" s="26" t="s">
        <v>196</v>
      </c>
      <c r="B19" s="15">
        <f>IFERROR((INDEX(利润表!$B$1:$B$500,MATCH("其中：营业收入",利润表!$A$1:$A$500,0))-INDEX(利润表!$B$1:$B$500,MATCH("其中：营业成本",利润表!$A$1:$A$500,0)))/INDEX(利润表!$B$1:$B$500,MATCH("其中：营业收入",利润表!$A$1:$A$500,0)),0)</f>
        <v>0</v>
      </c>
      <c r="C19" s="15">
        <f>IFERROR((INDEX(利润表!$C$1:$C$500,MATCH("其中：营业收入",利润表!$A$1:$A$500,0))-INDEX(利润表!$C$1:$C$500,MATCH("其中：营业成本",利润表!$A$1:$A$500,0)))/INDEX(利润表!$C$1:$C$500,MATCH("其中：营业收入",利润表!$A$1:$A$500,0)),0)</f>
        <v>0</v>
      </c>
      <c r="D19" s="15">
        <f>IFERROR((INDEX(利润表!$D$1:$D$500,MATCH("其中：营业收入",利润表!$A$1:$A$500,0))-INDEX(利润表!$D$1:$D$500,MATCH("其中：营业成本",利润表!$A$1:$A$500,0)))/INDEX(利润表!$D$1:$D$500,MATCH("其中：营业收入",利润表!$A$1:$A$500,0)),0)</f>
        <v>0</v>
      </c>
      <c r="E19" s="15">
        <f>IFERROR((INDEX(利润表!$E$1:$E$500,MATCH("其中：营业收入",利润表!$A$1:$A$500,0))-INDEX(利润表!$E$1:$E$500,MATCH("其中：营业成本",利润表!$A$1:$A$500,0)))/INDEX(利润表!$E$1:$E$500,MATCH("其中：营业收入",利润表!$A$1:$A$500,0)),0)</f>
        <v>0</v>
      </c>
    </row>
    <row r="20" ht="20" customHeight="1" spans="1:5">
      <c r="A20" s="28" t="s">
        <v>197</v>
      </c>
      <c r="B20" s="30">
        <f>IFERROR((INDEX(利润表!$B$1:$B$500,MATCH("四、利润总额（亏损总额以“－”号填列）",利润表!$A$1:$A$500,0))+INDEX(利润表!$B$1:$B$500,MATCH("      其中：利息费用",利润表!$A$1:$A$500,0)))/((INDEX(资产负债表!$B$1:$B$491,MATCH("资  产  总  计",资产负债表!$A$1:$A$491,0))+INDEX(资产负债表!$C$1:$C$491,MATCH("资  产  总  计",资产负债表!$A$1:$A$491,0)))/2),0)</f>
        <v>0</v>
      </c>
      <c r="C20" s="30">
        <f>IFERROR((INDEX(利润表!$C$1:$C$500,MATCH("四、利润总额（亏损总额以“－”号填列）",利润表!$A$1:$A$500,0))+INDEX(利润表!$C$1:$C$500,MATCH("      其中：利息费用",利润表!$A$1:$A$500,0)))/((INDEX(资产负债表!$C$1:$C$491,MATCH("资  产  总  计",资产负债表!$A$1:$A$491,0))+INDEX(资产负债表!$D$1:$D$491,MATCH("资  产  总  计",资产负债表!$A$1:$A$491,0)))/2),0)</f>
        <v>0</v>
      </c>
      <c r="D20" s="30">
        <f>IFERROR((INDEX(利润表!$D$1:$D$500,MATCH("四、利润总额（亏损总额以“－”号填列）",利润表!$A$1:$A$500,0))+INDEX(利润表!$D$1:$D$500,MATCH("      其中：利息费用",利润表!$A$1:$A$500,0)))/((INDEX(资产负债表!$D$1:$D$491,MATCH("资  产  总  计",资产负债表!$A$1:$A$491,0))+INDEX(资产负债表!$E$1:$E$491,MATCH("资  产  总  计",资产负债表!$A$1:$A$491,0)))/2),0)</f>
        <v>0</v>
      </c>
      <c r="E20" s="30" t="str">
        <f>""</f>
        <v/>
      </c>
    </row>
    <row r="21" ht="20" customHeight="1" spans="1:5">
      <c r="A21" s="26" t="s">
        <v>198</v>
      </c>
      <c r="B21" s="15">
        <f>IFERROR(INDEX(利润表!$B$1:$B$500,MATCH("归属于母公司所有者的净利润",利润表!$A$1:$A$500,0))/INDEX(补充资料表!$B$1:$B$500,MATCH("加权平均净资产",补充资料表!$A$1:$A$500,0)),0)</f>
        <v>0</v>
      </c>
      <c r="C21" s="15">
        <f>IFERROR(INDEX(利润表!$C$1:$C$500,MATCH("归属于母公司所有者的净利润",利润表!$A$1:$A$500,0))/INDEX(补充资料表!$C$1:$C$500,MATCH("加权平均净资产",补充资料表!$A$1:$A$500,0)),0)</f>
        <v>0</v>
      </c>
      <c r="D21" s="15">
        <f>IFERROR(INDEX(利润表!$D$1:$D$500,MATCH("归属于母公司所有者的净利润",利润表!$A$1:$A$500,0))/INDEX(补充资料表!$D$1:$D$500,MATCH("加权平均净资产",补充资料表!$A$1:$A$500,0)),0)</f>
        <v>0</v>
      </c>
      <c r="E21" s="15">
        <f>IFERROR(INDEX(利润表!$E$1:$E$500,MATCH("归属于母公司所有者的净利润",利润表!$A$1:$A$500,0))/INDEX(补充资料表!$E$1:$E$500,MATCH("加权平均净资产",补充资料表!$A$1:$A$500,0)),0)</f>
        <v>0</v>
      </c>
    </row>
    <row r="22" ht="24" customHeight="1" spans="1:5">
      <c r="A22" s="28" t="s">
        <v>199</v>
      </c>
      <c r="B22" s="30">
        <f>IFERROR(INDEX(补充资料表!$B$1:$B$500,MATCH("扣除非经常性损益后净利润",补充资料表!$A$1:$A$500,0))/INDEX(补充资料表!$B$1:$B$500,MATCH("加权平均净资产",补充资料表!$A$1:$A$500,0)),0)</f>
        <v>0</v>
      </c>
      <c r="C22" s="30">
        <f>IFERROR(INDEX(补充资料表!$C$1:$C$500,MATCH("扣除非经常性损益后净利润",补充资料表!$A$1:$A$500,0))/INDEX(补充资料表!$C$1:$C$500,MATCH("加权平均净资产",补充资料表!$A$1:$A$500,0)),0)</f>
        <v>0</v>
      </c>
      <c r="D22" s="30">
        <f>IFERROR(INDEX(补充资料表!$D$1:$D$500,MATCH("扣除非经常性损益后净利润",补充资料表!$A$1:$A$500,0))/INDEX(补充资料表!$D$1:$D$500,MATCH("加权平均净资产",补充资料表!$A$1:$A$500,0)),0)</f>
        <v>0</v>
      </c>
      <c r="E22" s="30">
        <f>IFERROR(INDEX(补充资料表!$E$1:$E$500,MATCH("扣除非经常性损益后净利润",补充资料表!$A$1:$A$500,0))/INDEX(补充资料表!$E$1:$E$500,MATCH("加权平均净资产",补充资料表!$A$1:$A$500,0)),0)</f>
        <v>0</v>
      </c>
    </row>
    <row r="23" ht="20" customHeight="1" spans="1:5">
      <c r="A23" s="26" t="s">
        <v>200</v>
      </c>
      <c r="B23" s="27">
        <f>IFERROR((INDEX(利润表!$B$1:$B$500,MATCH("四、利润总额（亏损总额以“－”号填列）",利润表!$A$1:$A$500,0))+INDEX(利润表!$B$1:$B$500,MATCH("      其中：利息费用",利润表!$A$1:$A$500,0))+INDEX(补充资料表!$B$1:$B$500,MATCH("计提折旧额",补充资料表!$A$1:$A$500,0))+INDEX(补充资料表!$B$1:$B$500,MATCH("无形资产摊销额",补充资料表!$A$1:$A$500,0))+INDEX(补充资料表!$B$1:$B$500,MATCH("长期待摊费用摊销",补充资料表!$A$1:$A$500,0)))/100000000,0)</f>
        <v>0</v>
      </c>
      <c r="C23" s="27">
        <f>IFERROR((INDEX(利润表!$C$1:$C$500,MATCH("四、利润总额（亏损总额以“－”号填列）",利润表!$A$1:$A$500,0))+INDEX(利润表!$C$1:$C$500,MATCH("      其中：利息费用",利润表!$A$1:$A$500,0))+INDEX(补充资料表!$C$1:$C$500,MATCH("计提折旧额",补充资料表!$A$1:$A$500,0))+INDEX(补充资料表!$C$1:$C$500,MATCH("无形资产摊销额",补充资料表!$A$1:$A$500,0))+INDEX(补充资料表!$C$1:$C$500,MATCH("长期待摊费用摊销",补充资料表!$A$1:$A$500,0)))/100000000,0)</f>
        <v>0</v>
      </c>
      <c r="D23" s="27">
        <f>IFERROR((INDEX(利润表!$D$1:$D$500,MATCH("四、利润总额（亏损总额以“－”号填列）",利润表!$A$1:$A$500,0))+INDEX(利润表!$D$1:$D$500,MATCH("      其中：利息费用",利润表!$A$1:$A$500,0))+INDEX(补充资料表!$D$1:$D$500,MATCH("计提折旧额",补充资料表!$A$1:$A$500,0))+INDEX(补充资料表!$D$1:$D$500,MATCH("无形资产摊销额",补充资料表!$A$1:$A$500,0))+INDEX(补充资料表!$D$1:$D$500,MATCH("长期待摊费用摊销",补充资料表!$A$1:$A$500,0)))/100000000,0)</f>
        <v>0</v>
      </c>
      <c r="E23" s="27">
        <f>IFERROR((INDEX(利润表!$E$1:$E$500,MATCH("四、利润总额（亏损总额以“－”号填列）",利润表!$A$1:$A$500,0))+INDEX(利润表!$E$1:$E$500,MATCH("      其中：利息费用",利润表!$A$1:$A$500,0))+INDEX(补充资料表!$E$1:$E$500,MATCH("计提折旧额",补充资料表!$A$1:$A$500,0))+INDEX(补充资料表!$E$1:$E$500,MATCH("无形资产摊销额",补充资料表!$A$1:$A$500,0))+INDEX(补充资料表!$E$1:$E$500,MATCH("长期待摊费用摊销",补充资料表!$A$1:$A$500,0)))/100000000,0)</f>
        <v>0</v>
      </c>
    </row>
    <row r="24" ht="20" customHeight="1" spans="1:5">
      <c r="A24" s="28" t="s">
        <v>201</v>
      </c>
      <c r="B24" s="30">
        <f>IFERROR((INDEX(利润表!$B$1:$B$500,MATCH("四、利润总额（亏损总额以“－”号填列）",利润表!$A$1:$A$500,0))+INDEX(利润表!$B$1:$B$500,MATCH("      其中：利息费用",利润表!$A$1:$A$500,0))+INDEX(补充资料表!$B$1:$B$500,MATCH("计提折旧额",补充资料表!$A$1:$A$500,0))+INDEX(补充资料表!$B$1:$B$500,MATCH("无形资产摊销额",补充资料表!$A$1:$A$500,0))+INDEX(补充资料表!$B$1:$B$500,MATCH("长期待摊费用摊销",补充资料表!$A$1:$A$500,0)))/(IFERROR(INDEX(资产负债表!$B$1:$B$491,MATCH("长期借款",资产负债表!$A$1:$A$491,0)),0)+IFERROR(INDEX(资产负债表!$B$1:$B$491,MATCH("应付债券",资产负债表!$A$1:$A$491,0)),0)+IFERROR(INDEX(资产负债表!$B$1:$B$491,MATCH("短期借款",资产负债表!$A$1:$A$491,0)),0)+IFERROR(INDEX(资产负债表!$B$1:$B$491,MATCH("交易性金融负债",资产负债表!$A$1:$A$491,0)),0)+IFERROR(INDEX(资产负债表!$B$1:$B$491,MATCH("应付票据",资产负债表!$A$1:$A$491,0)),0)+IFERROR(INDEX(资产负债表!$B$1:$B$491,MATCH("应付短期债券",资产负债表!$A$1:$A$491,0)),0)+IFERROR(INDEX(资产负债表!$B$1:$B$491,MATCH("一年内到期的非流动负债",资产负债表!$A$1:$A$491,0)),0)),0)</f>
        <v>0</v>
      </c>
      <c r="C24" s="30">
        <f>IFERROR((INDEX(利润表!$C$1:$C$500,MATCH("四、利润总额（亏损总额以“－”号填列）",利润表!$A$1:$A$500,0))+INDEX(利润表!$C$1:$C$500,MATCH("      其中：利息费用",利润表!$A$1:$A$500,0))+INDEX(补充资料表!$C$1:$C$500,MATCH("计提折旧额",补充资料表!$A$1:$A$500,0))+INDEX(补充资料表!$C$1:$C$500,MATCH("无形资产摊销额",补充资料表!$A$1:$A$500,0))+INDEX(补充资料表!$C$1:$C$500,MATCH("长期待摊费用摊销",补充资料表!$A$1:$A$500,0)))/(IFERROR(INDEX(资产负债表!$C$1:$C$491,MATCH("长期借款",资产负债表!$A$1:$A$491,0)),0)+IFERROR(INDEX(资产负债表!$C$1:$C$491,MATCH("应付债券",资产负债表!$A$1:$A$491,0)),0)+IFERROR(INDEX(资产负债表!$C$1:$C$491,MATCH("短期借款",资产负债表!$A$1:$A$491,0)),0)+IFERROR(INDEX(资产负债表!$C$1:$C$491,MATCH("交易性金融负债",资产负债表!$A$1:$A$491,0)),0)+IFERROR(INDEX(资产负债表!$C$1:$C$491,MATCH("应付票据",资产负债表!$A$1:$A$491,0)),0)+IFERROR(INDEX(资产负债表!$C$1:$C$491,MATCH("应付短期债券",资产负债表!$A$1:$A$491,0)),0)+IFERROR(INDEX(资产负债表!$C$1:$C$491,MATCH("一年内到期的非流动负债",资产负债表!$A$1:$A$491,0)),0)),0)</f>
        <v>0</v>
      </c>
      <c r="D24" s="30">
        <f>IFERROR((INDEX(利润表!$D$1:$D$500,MATCH("四、利润总额（亏损总额以“－”号填列）",利润表!$A$1:$A$500,0))+INDEX(利润表!$D$1:$D$500,MATCH("      其中：利息费用",利润表!$A$1:$A$500,0))+INDEX(补充资料表!$D$1:$D$500,MATCH("计提折旧额",补充资料表!$A$1:$A$500,0))+INDEX(补充资料表!$D$1:$D$500,MATCH("无形资产摊销额",补充资料表!$A$1:$A$500,0))+INDEX(补充资料表!$D$1:$D$500,MATCH("长期待摊费用摊销",补充资料表!$A$1:$A$500,0)))/(IFERROR(INDEX(资产负债表!$D$1:$D$491,MATCH("长期借款",资产负债表!$A$1:$A$491,0)),0)+IFERROR(INDEX(资产负债表!$D$1:$D$491,MATCH("应付债券",资产负债表!$A$1:$A$491,0)),0)+IFERROR(INDEX(资产负债表!$D$1:$D$491,MATCH("短期借款",资产负债表!$A$1:$A$491,0)),0)+IFERROR(INDEX(资产负债表!$D$1:$D$491,MATCH("交易性金融负债",资产负债表!$A$1:$A$491,0)),0)+IFERROR(INDEX(资产负债表!$D$1:$D$491,MATCH("应付票据",资产负债表!$A$1:$A$491,0)),0)+IFERROR(INDEX(资产负债表!$D$1:$D$491,MATCH("应付短期债券",资产负债表!$A$1:$A$491,0)),0)+IFERROR(INDEX(资产负债表!$D$1:$D$491,MATCH("一年内到期的非流动负债",资产负债表!$A$1:$A$491,0)),0)),0)</f>
        <v>0</v>
      </c>
      <c r="E24" s="30">
        <f>IFERROR((INDEX(利润表!$E$1:$E$500,MATCH("四、利润总额（亏损总额以“－”号填列）",利润表!$A$1:$A$500,0))+INDEX(利润表!$E$1:$E$500,MATCH("      其中：利息费用",利润表!$A$1:$A$500,0))+INDEX(补充资料表!$E$1:$E$500,MATCH("计提折旧额",补充资料表!$A$1:$A$500,0))+INDEX(补充资料表!$E$1:$E$500,MATCH("无形资产摊销额",补充资料表!$A$1:$A$500,0))+INDEX(补充资料表!$E$1:$E$500,MATCH("长期待摊费用摊销",补充资料表!$A$1:$A$500,0)))/(IFERROR(INDEX(资产负债表!$E$1:$E$491,MATCH("长期借款",资产负债表!$A$1:$A$491,0)),0)+IFERROR(INDEX(资产负债表!$E$1:$E$491,MATCH("应付债券",资产负债表!$A$1:$A$491,0)),0)+IFERROR(INDEX(资产负债表!$E$1:$E$491,MATCH("短期借款",资产负债表!$A$1:$A$491,0)),0)+IFERROR(INDEX(资产负债表!$E$1:$E$491,MATCH("交易性金融负债",资产负债表!$A$1:$A$491,0)),0)+IFERROR(INDEX(资产负债表!$E$1:$E$491,MATCH("应付票据",资产负债表!$A$1:$A$491,0)),0)+IFERROR(INDEX(资产负债表!$E$1:$E$491,MATCH("应付短期债券",资产负债表!$A$1:$A$491,0)),0)+IFERROR(INDEX(资产负债表!$E$1:$E$491,MATCH("一年内到期的非流动负债",资产负债表!$A$1:$A$491,0)),0)),0)</f>
        <v>0</v>
      </c>
    </row>
    <row r="25" ht="20" customHeight="1" spans="1:5">
      <c r="A25" s="28" t="s">
        <v>202</v>
      </c>
      <c r="B25" s="11">
        <f>IFERROR((INDEX(利润表!$B$1:$B$500,MATCH("四、利润总额（亏损总额以“－”号填列）",利润表!$A$1:$A$500,0))+INDEX(利润表!$B$1:$B$500,MATCH("      其中：利息费用",利润表!$A$1:$A$500,0))+INDEX(补充资料表!$B$1:$B$500,MATCH("计提折旧额",补充资料表!$A$1:$A$500,0))+INDEX(补充资料表!$B$1:$B$500,MATCH("无形资产摊销额",补充资料表!$A$1:$A$500,0))+INDEX(补充资料表!$B$1:$B$500,MATCH("长期待摊费用摊销",补充资料表!$A$1:$A$500,0)))/(INDEX(利润表!$B$1:$B$500,MATCH("      其中：利息费用",利润表!$A$1:$A$500,0))+INDEX(补充资料表!$B$1:$B$500,MATCH("资本化利息支出",补充资料表!$A$1:$A$500,0))),0)</f>
        <v>0</v>
      </c>
      <c r="C25" s="11">
        <f>IFERROR((INDEX(利润表!$C$1:$C$500,MATCH("四、利润总额（亏损总额以“－”号填列）",利润表!$A$1:$A$500,0))+INDEX(利润表!$C$1:$C$500,MATCH("      其中：利息费用",利润表!$A$1:$A$500,0))+INDEX(补充资料表!$C$1:$C$500,MATCH("计提折旧额",补充资料表!$A$1:$A$500,0))+INDEX(补充资料表!$C$1:$C$500,MATCH("无形资产摊销额",补充资料表!$A$1:$A$500,0))+INDEX(补充资料表!$C$1:$C$500,MATCH("长期待摊费用摊销",补充资料表!$A$1:$A$500,0)))/(INDEX(利润表!$C$1:$C$500,MATCH("      其中：利息费用",利润表!$A$1:$A$500,0))+INDEX(补充资料表!$C$1:$C$500,MATCH("资本化利息支出",补充资料表!$A$1:$A$500,0))),0)</f>
        <v>0</v>
      </c>
      <c r="D25" s="11">
        <f>IFERROR((INDEX(利润表!$D$1:$D$500,MATCH("四、利润总额（亏损总额以“－”号填列）",利润表!$A$1:$A$500,0))+INDEX(利润表!$D$1:$D$500,MATCH("      其中：利息费用",利润表!$A$1:$A$500,0))+INDEX(补充资料表!$D$1:$D$500,MATCH("计提折旧额",补充资料表!$A$1:$A$500,0))+INDEX(补充资料表!$D$1:$D$500,MATCH("无形资产摊销额",补充资料表!$A$1:$A$500,0))+INDEX(补充资料表!$D$1:$D$500,MATCH("长期待摊费用摊销",补充资料表!$A$1:$A$500,0)))/(INDEX(利润表!$D$1:$D$500,MATCH("      其中：利息费用",利润表!$A$1:$A$500,0))+INDEX(补充资料表!$D$1:$D$500,MATCH("资本化利息支出",补充资料表!$A$1:$A$500,0))),0)</f>
        <v>0</v>
      </c>
      <c r="E25" s="11">
        <f>IFERROR((INDEX(利润表!$E$1:$E$500,MATCH("四、利润总额（亏损总额以“－”号填列）",利润表!$A$1:$A$500,0))+INDEX(利润表!$E$1:$E$500,MATCH("      其中：利息费用",利润表!$A$1:$A$500,0))+INDEX(补充资料表!$E$1:$E$500,MATCH("计提折旧额",补充资料表!$A$1:$A$500,0))+INDEX(补充资料表!$E$1:$E$500,MATCH("无形资产摊销额",补充资料表!$A$1:$A$500,0))+INDEX(补充资料表!$E$1:$E$500,MATCH("长期待摊费用摊销",补充资料表!$A$1:$A$500,0)))/(INDEX(利润表!$E$1:$E$500,MATCH("      其中：利息费用",利润表!$A$1:$A$500,0))+INDEX(补充资料表!$E$1:$E$500,MATCH("资本化利息支出",补充资料表!$A$1:$A$500,0))),0)</f>
        <v>0</v>
      </c>
    </row>
    <row r="26" ht="20" customHeight="1" spans="1:5">
      <c r="A26" s="26" t="s">
        <v>203</v>
      </c>
      <c r="B26" s="9" t="str">
        <f>运营能力!B4</f>
        <v/>
      </c>
      <c r="C26" s="9">
        <f>运营能力!C4</f>
        <v>0</v>
      </c>
      <c r="D26" s="9">
        <f>运营能力!D4</f>
        <v>0</v>
      </c>
      <c r="E26" s="9" t="str">
        <f>运营能力!E4</f>
        <v/>
      </c>
    </row>
    <row r="27" ht="20" customHeight="1" spans="1:5">
      <c r="A27" s="28" t="s">
        <v>204</v>
      </c>
      <c r="B27" s="11" t="str">
        <f>运营能力!B5</f>
        <v/>
      </c>
      <c r="C27" s="11">
        <f>运营能力!C5</f>
        <v>0</v>
      </c>
      <c r="D27" s="11">
        <f>运营能力!D5</f>
        <v>0</v>
      </c>
      <c r="E27" s="11" t="str">
        <f>运营能力!E5</f>
        <v/>
      </c>
    </row>
    <row r="28" ht="20" customHeight="1" spans="1:5">
      <c r="A28" s="26" t="s">
        <v>205</v>
      </c>
      <c r="B28" s="9">
        <f>0</f>
        <v>0</v>
      </c>
      <c r="C28" s="9">
        <f>0</f>
        <v>0</v>
      </c>
      <c r="D28" s="9">
        <f>0</f>
        <v>0</v>
      </c>
      <c r="E28" s="9">
        <f>0</f>
        <v>0</v>
      </c>
    </row>
    <row r="30" ht="20" customHeight="1" spans="1:5">
      <c r="A30" s="14" t="s">
        <v>206</v>
      </c>
    </row>
    <row r="31" ht="20" customHeight="1" spans="1:5">
      <c r="A31" s="14" t="s">
        <v>207</v>
      </c>
    </row>
    <row r="32" ht="20" customHeight="1" spans="1:5">
      <c r="A32" s="14" t="s">
        <v>208</v>
      </c>
    </row>
    <row r="33" ht="20" customHeight="1" spans="1:1">
      <c r="A33" s="14" t="s">
        <v>209</v>
      </c>
    </row>
    <row r="34" ht="20" customHeight="1" spans="1:1">
      <c r="A34" s="14" t="s">
        <v>210</v>
      </c>
    </row>
    <row r="35" ht="20" customHeight="1" spans="1:1">
      <c r="A35" s="14" t="s">
        <v>211</v>
      </c>
    </row>
    <row r="36" ht="30" customHeight="1" spans="1:1">
      <c r="A36" s="14" t="s">
        <v>212</v>
      </c>
    </row>
    <row r="37" ht="20" customHeight="1" spans="1:1">
      <c r="A37" s="14" t="s">
        <v>213</v>
      </c>
    </row>
    <row r="38" ht="20" customHeight="1" spans="1:1">
      <c r="A38" s="14" t="s">
        <v>214</v>
      </c>
    </row>
    <row r="39" ht="20" customHeight="1" spans="1:1">
      <c r="A39" s="14" t="s">
        <v>215</v>
      </c>
    </row>
    <row r="40" ht="20" customHeight="1" spans="1:1">
      <c r="A40" s="14" t="s">
        <v>216</v>
      </c>
    </row>
    <row r="41" ht="20" customHeight="1" spans="1:1">
      <c r="A41" s="14" t="s">
        <v>217</v>
      </c>
    </row>
    <row r="42" ht="20" customHeight="1" spans="1:1">
      <c r="A42" s="14" t="s">
        <v>218</v>
      </c>
    </row>
    <row r="43" ht="20" customHeight="1" spans="1:1">
      <c r="A43" s="14" t="s">
        <v>219</v>
      </c>
    </row>
    <row r="44" ht="20" customHeight="1" spans="1:1">
      <c r="A44" s="14" t="s">
        <v>220</v>
      </c>
    </row>
    <row r="45" ht="20" customHeight="1" spans="1:1">
      <c r="A45" s="14" t="s">
        <v>221</v>
      </c>
    </row>
    <row r="46" ht="20" customHeight="1" spans="1:1">
      <c r="A46" s="14" t="s">
        <v>222</v>
      </c>
    </row>
    <row r="47" ht="20" customHeight="1" spans="1:1">
      <c r="A47" s="14" t="s">
        <v>223</v>
      </c>
    </row>
  </sheetData>
  <autoFilter xmlns:etc="http://www.wps.cn/officeDocument/2017/etCustomData" ref="A2:E28" etc:filterBottomFollowUsedRange="0">
    <extLst/>
  </autoFilter>
  <mergeCells count="19">
    <mergeCell ref="A1:E1"/>
    <mergeCell ref="A30:E30"/>
    <mergeCell ref="A31:E31"/>
    <mergeCell ref="A32:E32"/>
    <mergeCell ref="A33:E33"/>
    <mergeCell ref="A34:E34"/>
    <mergeCell ref="A35:E35"/>
    <mergeCell ref="A36:E36"/>
    <mergeCell ref="A37:E37"/>
    <mergeCell ref="A38:E38"/>
    <mergeCell ref="A39:E39"/>
    <mergeCell ref="A40:E40"/>
    <mergeCell ref="A41:E41"/>
    <mergeCell ref="A42:E42"/>
    <mergeCell ref="A43:E43"/>
    <mergeCell ref="A44:E44"/>
    <mergeCell ref="A45:E45"/>
    <mergeCell ref="A46:E46"/>
    <mergeCell ref="A47:E47"/>
  </mergeCells>
  <pageMargins left="0.3" right="0.3" top="0.45" bottom="0.45" header="0.2" footer="0.2"/>
  <pageSetup paperSize="9" fitToHeight="0" orientation="landscape"/>
  <headerFooter>
    <oddFooter>&amp;C&amp;"宋体"&amp;9 第 &amp;P 页，共 &amp;N 页</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E78"/>
    <pageSetUpPr fitToPage="1"/>
  </sheetPr>
  <dimension ref="A1:I41"/>
  <sheetViews>
    <sheetView showGridLines="0" workbookViewId="0">
      <pane xSplit="1" ySplit="4" topLeftCell="B16" activePane="bottomRight" state="frozen"/>
      <selection/>
      <selection pane="topRight"/>
      <selection pane="bottomLeft"/>
      <selection pane="bottomRight" activeCell="G16" sqref="G16"/>
    </sheetView>
  </sheetViews>
  <sheetFormatPr defaultColWidth="9" defaultRowHeight="16.8"/>
  <cols>
    <col min="1" max="1" width="31" customWidth="1"/>
    <col min="2" max="2" width="15" customWidth="1"/>
    <col min="3" max="3" width="11" customWidth="1"/>
    <col min="4" max="4" width="15" customWidth="1"/>
    <col min="5" max="5" width="11" customWidth="1"/>
    <col min="6" max="6" width="15" customWidth="1"/>
    <col min="7" max="7" width="11" customWidth="1"/>
    <col min="8" max="8" width="15" customWidth="1"/>
    <col min="9" max="9" width="11" customWidth="1"/>
  </cols>
  <sheetData>
    <row r="1" ht="27" customHeight="1" spans="1:9">
      <c r="A1" s="1" t="s">
        <v>224</v>
      </c>
    </row>
    <row r="2" ht="19" customHeight="1" spans="1:9">
      <c r="A2" s="16" t="s">
        <v>225</v>
      </c>
    </row>
    <row r="3" ht="22" customHeight="1" spans="1:9">
      <c r="A3" s="2" t="s">
        <v>226</v>
      </c>
      <c r="B3" s="2" t="str">
        <f>基本信息!B1</f>
        <v>最新一期</v>
      </c>
      <c r="C3" s="7"/>
      <c r="D3" s="2" t="str">
        <f>基本信息!C1</f>
        <v>20xx年</v>
      </c>
      <c r="E3" s="7"/>
      <c r="F3" s="2" t="str">
        <f>基本信息!D1</f>
        <v>20xx年</v>
      </c>
      <c r="G3" s="7"/>
      <c r="H3" s="2" t="str">
        <f>基本信息!E1</f>
        <v>20xx年</v>
      </c>
      <c r="I3" s="7"/>
    </row>
    <row r="4" ht="21" customHeight="1" spans="1:9">
      <c r="A4" s="2" t="s">
        <v>226</v>
      </c>
      <c r="B4" s="2" t="s">
        <v>227</v>
      </c>
      <c r="C4" s="2" t="s">
        <v>228</v>
      </c>
      <c r="D4" s="2" t="s">
        <v>227</v>
      </c>
      <c r="E4" s="2" t="s">
        <v>228</v>
      </c>
      <c r="F4" s="2" t="s">
        <v>227</v>
      </c>
      <c r="G4" s="2" t="s">
        <v>228</v>
      </c>
      <c r="H4" s="2" t="s">
        <v>227</v>
      </c>
      <c r="I4" s="2" t="s">
        <v>228</v>
      </c>
    </row>
    <row r="5" ht="20" customHeight="1" spans="1:9">
      <c r="A5" s="5" t="s">
        <v>8</v>
      </c>
      <c r="B5" s="21"/>
      <c r="C5" s="6"/>
      <c r="D5" s="21"/>
      <c r="E5" s="6"/>
      <c r="F5" s="21"/>
      <c r="G5" s="6"/>
      <c r="H5" s="21"/>
      <c r="I5" s="7"/>
    </row>
    <row r="6" ht="20" customHeight="1" spans="1:9">
      <c r="A6" s="17" t="s">
        <v>10</v>
      </c>
      <c r="B6" s="18">
        <f>IFERROR(INDEX(资产负债表!$B$1:$B$491,MATCH("货币资金",资产负债表!$A$1:$A$491,0))/10000,0)</f>
        <v>0</v>
      </c>
      <c r="C6" s="23">
        <f t="shared" ref="C6:C19" si="0">IFERROR(B6/$B$41,0)</f>
        <v>0</v>
      </c>
      <c r="D6" s="18">
        <f>IFERROR(INDEX(资产负债表!$C$1:$C$491,MATCH("货币资金",资产负债表!$A$1:$A$491,0))/10000,0)</f>
        <v>0</v>
      </c>
      <c r="E6" s="23">
        <f t="shared" ref="E6:E19" si="1">IFERROR(D6/$D$41,0)</f>
        <v>0</v>
      </c>
      <c r="F6" s="18">
        <f>IFERROR(INDEX(资产负债表!$D$1:$D$491,MATCH("货币资金",资产负债表!$A$1:$A$491,0))/10000,0)</f>
        <v>0</v>
      </c>
      <c r="G6" s="23">
        <f t="shared" ref="G6:G19" si="2">IFERROR(F6/$F$41,0)</f>
        <v>0</v>
      </c>
      <c r="H6" s="18">
        <f>IFERROR(INDEX(资产负债表!$E$1:$E$491,MATCH("货币资金",资产负债表!$A$1:$A$491,0))/10000,0)</f>
        <v>0</v>
      </c>
      <c r="I6" s="23">
        <f t="shared" ref="I6:I19" si="3">IFERROR(H6/$H$41,0)</f>
        <v>0</v>
      </c>
    </row>
    <row r="7" ht="20" customHeight="1" spans="1:9">
      <c r="A7" s="17" t="s">
        <v>11</v>
      </c>
      <c r="B7" s="18">
        <f>IFERROR(INDEX(资产负债表!$B$1:$B$491,MATCH("交易性金融资产",资产负债表!$A$1:$A$491,0))/10000,0)</f>
        <v>0</v>
      </c>
      <c r="C7" s="23">
        <f t="shared" si="0"/>
        <v>0</v>
      </c>
      <c r="D7" s="18">
        <f>IFERROR(INDEX(资产负债表!$C$1:$C$491,MATCH("交易性金融资产",资产负债表!$A$1:$A$491,0))/10000,0)</f>
        <v>0</v>
      </c>
      <c r="E7" s="23">
        <f t="shared" si="1"/>
        <v>0</v>
      </c>
      <c r="F7" s="18">
        <f>IFERROR(INDEX(资产负债表!$D$1:$D$491,MATCH("交易性金融资产",资产负债表!$A$1:$A$491,0))/10000,0)</f>
        <v>0</v>
      </c>
      <c r="G7" s="23">
        <f t="shared" si="2"/>
        <v>0</v>
      </c>
      <c r="H7" s="18">
        <f>IFERROR(INDEX(资产负债表!$E$1:$E$491,MATCH("交易性金融资产",资产负债表!$A$1:$A$491,0))/10000,0)</f>
        <v>0</v>
      </c>
      <c r="I7" s="23">
        <f t="shared" si="3"/>
        <v>0</v>
      </c>
    </row>
    <row r="8" ht="20" customHeight="1" spans="1:9">
      <c r="A8" s="17" t="s">
        <v>12</v>
      </c>
      <c r="B8" s="18">
        <f>IFERROR(INDEX(资产负债表!$B$1:$B$491,MATCH("衍生金融资产",资产负债表!$A$1:$A$491,0))/10000,0)</f>
        <v>0</v>
      </c>
      <c r="C8" s="23">
        <f t="shared" si="0"/>
        <v>0</v>
      </c>
      <c r="D8" s="18">
        <f>IFERROR(INDEX(资产负债表!$C$1:$C$491,MATCH("衍生金融资产",资产负债表!$A$1:$A$491,0))/10000,0)</f>
        <v>0</v>
      </c>
      <c r="E8" s="23">
        <f t="shared" si="1"/>
        <v>0</v>
      </c>
      <c r="F8" s="18">
        <f>IFERROR(INDEX(资产负债表!$D$1:$D$491,MATCH("衍生金融资产",资产负债表!$A$1:$A$491,0))/10000,0)</f>
        <v>0</v>
      </c>
      <c r="G8" s="23">
        <f t="shared" si="2"/>
        <v>0</v>
      </c>
      <c r="H8" s="18">
        <f>IFERROR(INDEX(资产负债表!$E$1:$E$491,MATCH("衍生金融资产",资产负债表!$A$1:$A$491,0))/10000,0)</f>
        <v>0</v>
      </c>
      <c r="I8" s="23">
        <f t="shared" si="3"/>
        <v>0</v>
      </c>
    </row>
    <row r="9" ht="20" customHeight="1" spans="1:9">
      <c r="A9" s="17" t="s">
        <v>13</v>
      </c>
      <c r="B9" s="18">
        <f>IFERROR(INDEX(资产负债表!$B$1:$B$491,MATCH("应收票据",资产负债表!$A$1:$A$491,0))/10000,0)</f>
        <v>0</v>
      </c>
      <c r="C9" s="23">
        <f t="shared" si="0"/>
        <v>0</v>
      </c>
      <c r="D9" s="18">
        <f>IFERROR(INDEX(资产负债表!$C$1:$C$491,MATCH("应收票据",资产负债表!$A$1:$A$491,0))/10000,0)</f>
        <v>0</v>
      </c>
      <c r="E9" s="23">
        <f t="shared" si="1"/>
        <v>0</v>
      </c>
      <c r="F9" s="18">
        <f>IFERROR(INDEX(资产负债表!$D$1:$D$491,MATCH("应收票据",资产负债表!$A$1:$A$491,0))/10000,0)</f>
        <v>0</v>
      </c>
      <c r="G9" s="23">
        <f t="shared" si="2"/>
        <v>0</v>
      </c>
      <c r="H9" s="18">
        <f>IFERROR(INDEX(资产负债表!$E$1:$E$491,MATCH("应收票据",资产负债表!$A$1:$A$491,0))/10000,0)</f>
        <v>0</v>
      </c>
      <c r="I9" s="23">
        <f t="shared" si="3"/>
        <v>0</v>
      </c>
    </row>
    <row r="10" ht="20" customHeight="1" spans="1:9">
      <c r="A10" s="17" t="s">
        <v>14</v>
      </c>
      <c r="B10" s="18">
        <f>IFERROR(INDEX(资产负债表!$B$1:$B$491,MATCH("应收账款",资产负债表!$A$1:$A$491,0))/10000,0)</f>
        <v>0</v>
      </c>
      <c r="C10" s="23">
        <f t="shared" si="0"/>
        <v>0</v>
      </c>
      <c r="D10" s="18">
        <f>IFERROR(INDEX(资产负债表!$C$1:$C$491,MATCH("应收账款",资产负债表!$A$1:$A$491,0))/10000,0)</f>
        <v>0</v>
      </c>
      <c r="E10" s="23">
        <f t="shared" si="1"/>
        <v>0</v>
      </c>
      <c r="F10" s="18">
        <f>IFERROR(INDEX(资产负债表!$D$1:$D$491,MATCH("应收账款",资产负债表!$A$1:$A$491,0))/10000,0)</f>
        <v>0</v>
      </c>
      <c r="G10" s="23">
        <f t="shared" si="2"/>
        <v>0</v>
      </c>
      <c r="H10" s="18">
        <f>IFERROR(INDEX(资产负债表!$E$1:$E$491,MATCH("应收账款",资产负债表!$A$1:$A$491,0))/10000,0)</f>
        <v>0</v>
      </c>
      <c r="I10" s="23">
        <f t="shared" si="3"/>
        <v>0</v>
      </c>
    </row>
    <row r="11" ht="20" customHeight="1" spans="1:9">
      <c r="A11" s="17" t="s">
        <v>15</v>
      </c>
      <c r="B11" s="18">
        <f>IFERROR(INDEX(资产负债表!$B$1:$B$491,MATCH("应收款项融资",资产负债表!$A$1:$A$491,0))/10000,0)</f>
        <v>0</v>
      </c>
      <c r="C11" s="23">
        <f t="shared" si="0"/>
        <v>0</v>
      </c>
      <c r="D11" s="18">
        <f>IFERROR(INDEX(资产负债表!$C$1:$C$491,MATCH("应收款项融资",资产负债表!$A$1:$A$491,0))/10000,0)</f>
        <v>0</v>
      </c>
      <c r="E11" s="23">
        <f t="shared" si="1"/>
        <v>0</v>
      </c>
      <c r="F11" s="18">
        <f>IFERROR(INDEX(资产负债表!$D$1:$D$491,MATCH("应收款项融资",资产负债表!$A$1:$A$491,0))/10000,0)</f>
        <v>0</v>
      </c>
      <c r="G11" s="23">
        <f t="shared" si="2"/>
        <v>0</v>
      </c>
      <c r="H11" s="18">
        <f>IFERROR(INDEX(资产负债表!$E$1:$E$491,MATCH("应收款项融资",资产负债表!$A$1:$A$491,0))/10000,0)</f>
        <v>0</v>
      </c>
      <c r="I11" s="23">
        <f t="shared" si="3"/>
        <v>0</v>
      </c>
    </row>
    <row r="12" ht="20" customHeight="1" spans="1:9">
      <c r="A12" s="17" t="s">
        <v>16</v>
      </c>
      <c r="B12" s="18">
        <f>IFERROR(INDEX(资产负债表!$B$1:$B$491,MATCH("预付款项",资产负债表!$A$1:$A$491,0))/10000,0)</f>
        <v>0</v>
      </c>
      <c r="C12" s="23">
        <f t="shared" si="0"/>
        <v>0</v>
      </c>
      <c r="D12" s="18">
        <f>IFERROR(INDEX(资产负债表!$C$1:$C$491,MATCH("预付款项",资产负债表!$A$1:$A$491,0))/10000,0)</f>
        <v>0</v>
      </c>
      <c r="E12" s="23">
        <f t="shared" si="1"/>
        <v>0</v>
      </c>
      <c r="F12" s="18">
        <f>IFERROR(INDEX(资产负债表!$D$1:$D$491,MATCH("预付款项",资产负债表!$A$1:$A$491,0))/10000,0)</f>
        <v>0</v>
      </c>
      <c r="G12" s="23">
        <f t="shared" si="2"/>
        <v>0</v>
      </c>
      <c r="H12" s="18">
        <f>IFERROR(INDEX(资产负债表!$E$1:$E$491,MATCH("预付款项",资产负债表!$A$1:$A$491,0))/10000,0)</f>
        <v>0</v>
      </c>
      <c r="I12" s="23">
        <f t="shared" si="3"/>
        <v>0</v>
      </c>
    </row>
    <row r="13" ht="20" customHeight="1" spans="1:9">
      <c r="A13" s="17" t="s">
        <v>17</v>
      </c>
      <c r="B13" s="18">
        <f>IFERROR(INDEX(资产负债表!$B$1:$B$491,MATCH("其他应收款",资产负债表!$A$1:$A$491,0))/10000,0)</f>
        <v>0</v>
      </c>
      <c r="C13" s="23">
        <f t="shared" si="0"/>
        <v>0</v>
      </c>
      <c r="D13" s="18">
        <f>IFERROR(INDEX(资产负债表!$C$1:$C$491,MATCH("其他应收款",资产负债表!$A$1:$A$491,0))/10000,0)</f>
        <v>0</v>
      </c>
      <c r="E13" s="23">
        <f t="shared" si="1"/>
        <v>0</v>
      </c>
      <c r="F13" s="18">
        <f>IFERROR(INDEX(资产负债表!$D$1:$D$491,MATCH("其他应收款",资产负债表!$A$1:$A$491,0))/10000,0)</f>
        <v>0</v>
      </c>
      <c r="G13" s="23">
        <f t="shared" si="2"/>
        <v>0</v>
      </c>
      <c r="H13" s="18">
        <f>IFERROR(INDEX(资产负债表!$E$1:$E$491,MATCH("其他应收款",资产负债表!$A$1:$A$491,0))/10000,0)</f>
        <v>0</v>
      </c>
      <c r="I13" s="23">
        <f t="shared" si="3"/>
        <v>0</v>
      </c>
    </row>
    <row r="14" ht="20" customHeight="1" spans="1:9">
      <c r="A14" s="17" t="s">
        <v>18</v>
      </c>
      <c r="B14" s="18">
        <f>IFERROR(INDEX(资产负债表!$B$1:$B$491,MATCH("存货",资产负债表!$A$1:$A$491,0))/10000,0)</f>
        <v>0</v>
      </c>
      <c r="C14" s="23">
        <f t="shared" si="0"/>
        <v>0</v>
      </c>
      <c r="D14" s="18">
        <f>IFERROR(INDEX(资产负债表!$C$1:$C$491,MATCH("存货",资产负债表!$A$1:$A$491,0))/10000,0)</f>
        <v>0</v>
      </c>
      <c r="E14" s="23">
        <f t="shared" si="1"/>
        <v>0</v>
      </c>
      <c r="F14" s="18">
        <f>IFERROR(INDEX(资产负债表!$D$1:$D$491,MATCH("存货",资产负债表!$A$1:$A$491,0))/10000,0)</f>
        <v>0</v>
      </c>
      <c r="G14" s="23">
        <f t="shared" si="2"/>
        <v>0</v>
      </c>
      <c r="H14" s="18">
        <f>IFERROR(INDEX(资产负债表!$E$1:$E$491,MATCH("存货",资产负债表!$A$1:$A$491,0))/10000,0)</f>
        <v>0</v>
      </c>
      <c r="I14" s="23">
        <f t="shared" si="3"/>
        <v>0</v>
      </c>
    </row>
    <row r="15" ht="20" customHeight="1" spans="1:9">
      <c r="A15" s="17" t="s">
        <v>19</v>
      </c>
      <c r="B15" s="18">
        <f>IFERROR(INDEX(资产负债表!$B$1:$B$491,MATCH("合同资产",资产负债表!$A$1:$A$491,0))/10000,0)</f>
        <v>0</v>
      </c>
      <c r="C15" s="23">
        <f t="shared" si="0"/>
        <v>0</v>
      </c>
      <c r="D15" s="18">
        <f>IFERROR(INDEX(资产负债表!$C$1:$C$491,MATCH("合同资产",资产负债表!$A$1:$A$491,0))/10000,0)</f>
        <v>0</v>
      </c>
      <c r="E15" s="23">
        <f t="shared" si="1"/>
        <v>0</v>
      </c>
      <c r="F15" s="18">
        <f>IFERROR(INDEX(资产负债表!$D$1:$D$491,MATCH("合同资产",资产负债表!$A$1:$A$491,0))/10000,0)</f>
        <v>0</v>
      </c>
      <c r="G15" s="23">
        <f t="shared" si="2"/>
        <v>0</v>
      </c>
      <c r="H15" s="18">
        <f>IFERROR(INDEX(资产负债表!$E$1:$E$491,MATCH("合同资产",资产负债表!$A$1:$A$491,0))/10000,0)</f>
        <v>0</v>
      </c>
      <c r="I15" s="23">
        <f t="shared" si="3"/>
        <v>0</v>
      </c>
    </row>
    <row r="16" ht="20" customHeight="1" spans="1:9">
      <c r="A16" s="17" t="s">
        <v>20</v>
      </c>
      <c r="B16" s="18">
        <f>IFERROR(INDEX(资产负债表!$B$1:$B$491,MATCH("持有待售资产",资产负债表!$A$1:$A$491,0))/10000,0)</f>
        <v>0</v>
      </c>
      <c r="C16" s="23">
        <f t="shared" si="0"/>
        <v>0</v>
      </c>
      <c r="D16" s="18">
        <f>IFERROR(INDEX(资产负债表!$C$1:$C$491,MATCH("持有待售资产",资产负债表!$A$1:$A$491,0))/10000,0)</f>
        <v>0</v>
      </c>
      <c r="E16" s="23">
        <f t="shared" si="1"/>
        <v>0</v>
      </c>
      <c r="F16" s="18">
        <f>IFERROR(INDEX(资产负债表!$D$1:$D$491,MATCH("持有待售资产",资产负债表!$A$1:$A$491,0))/10000,0)</f>
        <v>0</v>
      </c>
      <c r="G16" s="23">
        <f t="shared" si="2"/>
        <v>0</v>
      </c>
      <c r="H16" s="18">
        <f>IFERROR(INDEX(资产负债表!$E$1:$E$491,MATCH("持有待售资产",资产负债表!$A$1:$A$491,0))/10000,0)</f>
        <v>0</v>
      </c>
      <c r="I16" s="23">
        <f t="shared" si="3"/>
        <v>0</v>
      </c>
    </row>
    <row r="17" ht="20" customHeight="1" spans="1:9">
      <c r="A17" s="17" t="s">
        <v>21</v>
      </c>
      <c r="B17" s="18">
        <f>IFERROR(INDEX(资产负债表!$B$1:$B$491,MATCH("一年内到期的非流动资产",资产负债表!$A$1:$A$491,0))/10000,0)</f>
        <v>0</v>
      </c>
      <c r="C17" s="23">
        <f t="shared" si="0"/>
        <v>0</v>
      </c>
      <c r="D17" s="18">
        <f>IFERROR(INDEX(资产负债表!$C$1:$C$491,MATCH("一年内到期的非流动资产",资产负债表!$A$1:$A$491,0))/10000,0)</f>
        <v>0</v>
      </c>
      <c r="E17" s="23">
        <f t="shared" si="1"/>
        <v>0</v>
      </c>
      <c r="F17" s="18">
        <f>IFERROR(INDEX(资产负债表!$D$1:$D$491,MATCH("一年内到期的非流动资产",资产负债表!$A$1:$A$491,0))/10000,0)</f>
        <v>0</v>
      </c>
      <c r="G17" s="23">
        <f t="shared" si="2"/>
        <v>0</v>
      </c>
      <c r="H17" s="18">
        <f>IFERROR(INDEX(资产负债表!$E$1:$E$491,MATCH("一年内到期的非流动资产",资产负债表!$A$1:$A$491,0))/10000,0)</f>
        <v>0</v>
      </c>
      <c r="I17" s="23">
        <f t="shared" si="3"/>
        <v>0</v>
      </c>
    </row>
    <row r="18" ht="20" customHeight="1" spans="1:9">
      <c r="A18" s="17" t="s">
        <v>22</v>
      </c>
      <c r="B18" s="18">
        <f>IFERROR(INDEX(资产负债表!$B$1:$B$491,MATCH("其他流动资产",资产负债表!$A$1:$A$491,0))/10000,0)</f>
        <v>0</v>
      </c>
      <c r="C18" s="23">
        <f t="shared" si="0"/>
        <v>0</v>
      </c>
      <c r="D18" s="18">
        <f>IFERROR(INDEX(资产负债表!$C$1:$C$491,MATCH("其他流动资产",资产负债表!$A$1:$A$491,0))/10000,0)</f>
        <v>0</v>
      </c>
      <c r="E18" s="23">
        <f t="shared" si="1"/>
        <v>0</v>
      </c>
      <c r="F18" s="18">
        <f>IFERROR(INDEX(资产负债表!$D$1:$D$491,MATCH("其他流动资产",资产负债表!$A$1:$A$491,0))/10000,0)</f>
        <v>0</v>
      </c>
      <c r="G18" s="23">
        <f t="shared" si="2"/>
        <v>0</v>
      </c>
      <c r="H18" s="18">
        <f>IFERROR(INDEX(资产负债表!$E$1:$E$491,MATCH("其他流动资产",资产负债表!$A$1:$A$491,0))/10000,0)</f>
        <v>0</v>
      </c>
      <c r="I18" s="23">
        <f t="shared" si="3"/>
        <v>0</v>
      </c>
    </row>
    <row r="19" ht="20" customHeight="1" spans="1:9">
      <c r="A19" s="19" t="s">
        <v>23</v>
      </c>
      <c r="B19" s="20">
        <f>IFERROR(INDEX(资产负债表!$B$1:$B$491,MATCH("流动资产合计",资产负债表!$A$1:$A$491,0))/10000,0)</f>
        <v>0</v>
      </c>
      <c r="C19" s="25">
        <f t="shared" si="0"/>
        <v>0</v>
      </c>
      <c r="D19" s="20">
        <f>IFERROR(INDEX(资产负债表!$C$1:$C$491,MATCH("流动资产合计",资产负债表!$A$1:$A$491,0))/10000,0)</f>
        <v>0</v>
      </c>
      <c r="E19" s="24">
        <f t="shared" si="1"/>
        <v>0</v>
      </c>
      <c r="F19" s="20">
        <f>IFERROR(INDEX(资产负债表!$D$1:$D$491,MATCH("流动资产合计",资产负债表!$A$1:$A$491,0))/10000,0)</f>
        <v>0</v>
      </c>
      <c r="G19" s="24">
        <f t="shared" si="2"/>
        <v>0</v>
      </c>
      <c r="H19" s="20">
        <f>IFERROR(INDEX(资产负债表!$E$1:$E$491,MATCH("流动资产合计",资产负债表!$A$1:$A$491,0))/10000,0)</f>
        <v>0</v>
      </c>
      <c r="I19" s="24">
        <f t="shared" si="3"/>
        <v>0</v>
      </c>
    </row>
    <row r="20" ht="20" customHeight="1" spans="1:9">
      <c r="A20" s="5" t="s">
        <v>24</v>
      </c>
      <c r="B20" s="21"/>
      <c r="C20" s="6"/>
      <c r="D20" s="21"/>
      <c r="E20" s="6"/>
      <c r="F20" s="21"/>
      <c r="G20" s="6"/>
      <c r="H20" s="21"/>
      <c r="I20" s="7"/>
    </row>
    <row r="21" ht="20" customHeight="1" spans="1:9">
      <c r="A21" s="17" t="s">
        <v>25</v>
      </c>
      <c r="B21" s="18">
        <f>IFERROR(INDEX(资产负债表!$B$1:$B$491,MATCH("债权投资",资产负债表!$A$1:$A$491,0))/10000,0)</f>
        <v>0</v>
      </c>
      <c r="C21" s="23">
        <f t="shared" ref="C21:C41" si="4">IFERROR(B21/$B$41,0)</f>
        <v>0</v>
      </c>
      <c r="D21" s="18">
        <f>IFERROR(INDEX(资产负债表!$C$1:$C$491,MATCH("债权投资",资产负债表!$A$1:$A$491,0))/10000,0)</f>
        <v>0</v>
      </c>
      <c r="E21" s="23">
        <f t="shared" ref="E21:E41" si="5">IFERROR(D21/$D$41,0)</f>
        <v>0</v>
      </c>
      <c r="F21" s="18">
        <f>IFERROR(INDEX(资产负债表!$D$1:$D$491,MATCH("债权投资",资产负债表!$A$1:$A$491,0))/10000,0)</f>
        <v>0</v>
      </c>
      <c r="G21" s="23">
        <f t="shared" ref="G21:G41" si="6">IFERROR(F21/$F$41,0)</f>
        <v>0</v>
      </c>
      <c r="H21" s="18">
        <f>IFERROR(INDEX(资产负债表!$E$1:$E$491,MATCH("债权投资",资产负债表!$A$1:$A$491,0))/10000,0)</f>
        <v>0</v>
      </c>
      <c r="I21" s="23">
        <f t="shared" ref="I21:I41" si="7">IFERROR(H21/$H$41,0)</f>
        <v>0</v>
      </c>
    </row>
    <row r="22" ht="20" customHeight="1" spans="1:9">
      <c r="A22" s="17" t="s">
        <v>26</v>
      </c>
      <c r="B22" s="18">
        <f>IFERROR(INDEX(资产负债表!$B$1:$B$491,MATCH("其他债权投资",资产负债表!$A$1:$A$491,0))/10000,0)</f>
        <v>0</v>
      </c>
      <c r="C22" s="23">
        <f t="shared" si="4"/>
        <v>0</v>
      </c>
      <c r="D22" s="18">
        <f>IFERROR(INDEX(资产负债表!$C$1:$C$491,MATCH("其他债权投资",资产负债表!$A$1:$A$491,0))/10000,0)</f>
        <v>0</v>
      </c>
      <c r="E22" s="23">
        <f t="shared" si="5"/>
        <v>0</v>
      </c>
      <c r="F22" s="18">
        <f>IFERROR(INDEX(资产负债表!$D$1:$D$491,MATCH("其他债权投资",资产负债表!$A$1:$A$491,0))/10000,0)</f>
        <v>0</v>
      </c>
      <c r="G22" s="23">
        <f t="shared" si="6"/>
        <v>0</v>
      </c>
      <c r="H22" s="18">
        <f>IFERROR(INDEX(资产负债表!$E$1:$E$491,MATCH("其他债权投资",资产负债表!$A$1:$A$491,0))/10000,0)</f>
        <v>0</v>
      </c>
      <c r="I22" s="23">
        <f t="shared" si="7"/>
        <v>0</v>
      </c>
    </row>
    <row r="23" ht="20" customHeight="1" spans="1:9">
      <c r="A23" s="17" t="s">
        <v>229</v>
      </c>
      <c r="B23" s="18">
        <f>IFERROR(INDEX(资产负债表!$B$1:$B$491,MATCH("可供出售金融资产",资产负债表!$A$1:$A$491,0))/10000,0)</f>
        <v>0</v>
      </c>
      <c r="C23" s="23">
        <f t="shared" si="4"/>
        <v>0</v>
      </c>
      <c r="D23" s="18">
        <f>IFERROR(INDEX(资产负债表!$C$1:$C$491,MATCH("可供出售金融资产",资产负债表!$A$1:$A$491,0))/10000,0)</f>
        <v>0</v>
      </c>
      <c r="E23" s="23">
        <f t="shared" si="5"/>
        <v>0</v>
      </c>
      <c r="F23" s="18">
        <f>IFERROR(INDEX(资产负债表!$D$1:$D$491,MATCH("可供出售金融资产",资产负债表!$A$1:$A$491,0))/10000,0)</f>
        <v>0</v>
      </c>
      <c r="G23" s="23">
        <f t="shared" si="6"/>
        <v>0</v>
      </c>
      <c r="H23" s="18">
        <f>IFERROR(INDEX(资产负债表!$E$1:$E$491,MATCH("可供出售金融资产",资产负债表!$A$1:$A$491,0))/10000,0)</f>
        <v>0</v>
      </c>
      <c r="I23" s="23">
        <f t="shared" si="7"/>
        <v>0</v>
      </c>
    </row>
    <row r="24" ht="20" customHeight="1" spans="1:9">
      <c r="A24" s="17" t="s">
        <v>27</v>
      </c>
      <c r="B24" s="18">
        <f>IFERROR(INDEX(资产负债表!$B$1:$B$491,MATCH("长期应收款",资产负债表!$A$1:$A$491,0))/10000,0)</f>
        <v>0</v>
      </c>
      <c r="C24" s="23">
        <f t="shared" si="4"/>
        <v>0</v>
      </c>
      <c r="D24" s="18">
        <f>IFERROR(INDEX(资产负债表!$C$1:$C$491,MATCH("长期应收款",资产负债表!$A$1:$A$491,0))/10000,0)</f>
        <v>0</v>
      </c>
      <c r="E24" s="23">
        <f t="shared" si="5"/>
        <v>0</v>
      </c>
      <c r="F24" s="18">
        <f>IFERROR(INDEX(资产负债表!$D$1:$D$491,MATCH("长期应收款",资产负债表!$A$1:$A$491,0))/10000,0)</f>
        <v>0</v>
      </c>
      <c r="G24" s="23">
        <f t="shared" si="6"/>
        <v>0</v>
      </c>
      <c r="H24" s="18">
        <f>IFERROR(INDEX(资产负债表!$E$1:$E$491,MATCH("长期应收款",资产负债表!$A$1:$A$491,0))/10000,0)</f>
        <v>0</v>
      </c>
      <c r="I24" s="23">
        <f t="shared" si="7"/>
        <v>0</v>
      </c>
    </row>
    <row r="25" ht="20" customHeight="1" spans="1:9">
      <c r="A25" s="17" t="s">
        <v>28</v>
      </c>
      <c r="B25" s="18">
        <f>IFERROR(INDEX(资产负债表!$B$1:$B$491,MATCH("长期股权投资",资产负债表!$A$1:$A$491,0))/10000,0)</f>
        <v>0</v>
      </c>
      <c r="C25" s="23">
        <f t="shared" si="4"/>
        <v>0</v>
      </c>
      <c r="D25" s="18">
        <f>IFERROR(INDEX(资产负债表!$C$1:$C$491,MATCH("长期股权投资",资产负债表!$A$1:$A$491,0))/10000,0)</f>
        <v>0</v>
      </c>
      <c r="E25" s="23">
        <f t="shared" si="5"/>
        <v>0</v>
      </c>
      <c r="F25" s="18">
        <f>IFERROR(INDEX(资产负债表!$D$1:$D$491,MATCH("长期股权投资",资产负债表!$A$1:$A$491,0))/10000,0)</f>
        <v>0</v>
      </c>
      <c r="G25" s="23">
        <f t="shared" si="6"/>
        <v>0</v>
      </c>
      <c r="H25" s="18">
        <f>IFERROR(INDEX(资产负债表!$E$1:$E$491,MATCH("长期股权投资",资产负债表!$A$1:$A$491,0))/10000,0)</f>
        <v>0</v>
      </c>
      <c r="I25" s="23">
        <f t="shared" si="7"/>
        <v>0</v>
      </c>
    </row>
    <row r="26" ht="20" customHeight="1" spans="1:9">
      <c r="A26" s="17" t="s">
        <v>29</v>
      </c>
      <c r="B26" s="18">
        <f>IFERROR(INDEX(资产负债表!$B$1:$B$491,MATCH("其他权益工具投资",资产负债表!$A$1:$A$491,0))/10000,0)</f>
        <v>0</v>
      </c>
      <c r="C26" s="23">
        <f t="shared" si="4"/>
        <v>0</v>
      </c>
      <c r="D26" s="18">
        <f>IFERROR(INDEX(资产负债表!$C$1:$C$491,MATCH("其他权益工具投资",资产负债表!$A$1:$A$491,0))/10000,0)</f>
        <v>0</v>
      </c>
      <c r="E26" s="23">
        <f t="shared" si="5"/>
        <v>0</v>
      </c>
      <c r="F26" s="18">
        <f>IFERROR(INDEX(资产负债表!$D$1:$D$491,MATCH("其他权益工具投资",资产负债表!$A$1:$A$491,0))/10000,0)</f>
        <v>0</v>
      </c>
      <c r="G26" s="23">
        <f t="shared" si="6"/>
        <v>0</v>
      </c>
      <c r="H26" s="18">
        <f>IFERROR(INDEX(资产负债表!$E$1:$E$491,MATCH("其他权益工具投资",资产负债表!$A$1:$A$491,0))/10000,0)</f>
        <v>0</v>
      </c>
      <c r="I26" s="23">
        <f t="shared" si="7"/>
        <v>0</v>
      </c>
    </row>
    <row r="27" ht="20" customHeight="1" spans="1:9">
      <c r="A27" s="17" t="s">
        <v>30</v>
      </c>
      <c r="B27" s="18">
        <f>IFERROR(INDEX(资产负债表!$B$1:$B$491,MATCH("其他非流动金融资产",资产负债表!$A$1:$A$491,0))/10000,0)</f>
        <v>0</v>
      </c>
      <c r="C27" s="23">
        <f t="shared" si="4"/>
        <v>0</v>
      </c>
      <c r="D27" s="18">
        <f>IFERROR(INDEX(资产负债表!$C$1:$C$491,MATCH("其他非流动金融资产",资产负债表!$A$1:$A$491,0))/10000,0)</f>
        <v>0</v>
      </c>
      <c r="E27" s="23">
        <f t="shared" si="5"/>
        <v>0</v>
      </c>
      <c r="F27" s="18">
        <f>IFERROR(INDEX(资产负债表!$D$1:$D$491,MATCH("其他非流动金融资产",资产负债表!$A$1:$A$491,0))/10000,0)</f>
        <v>0</v>
      </c>
      <c r="G27" s="23">
        <f t="shared" si="6"/>
        <v>0</v>
      </c>
      <c r="H27" s="18">
        <f>IFERROR(INDEX(资产负债表!$E$1:$E$491,MATCH("其他非流动金融资产",资产负债表!$A$1:$A$491,0))/10000,0)</f>
        <v>0</v>
      </c>
      <c r="I27" s="23">
        <f t="shared" si="7"/>
        <v>0</v>
      </c>
    </row>
    <row r="28" ht="20" customHeight="1" spans="1:9">
      <c r="A28" s="17" t="s">
        <v>31</v>
      </c>
      <c r="B28" s="18">
        <f>IFERROR(INDEX(资产负债表!$B$1:$B$491,MATCH("投资性房地产",资产负债表!$A$1:$A$491,0))/10000,0)</f>
        <v>0</v>
      </c>
      <c r="C28" s="23">
        <f t="shared" si="4"/>
        <v>0</v>
      </c>
      <c r="D28" s="18">
        <f>IFERROR(INDEX(资产负债表!$C$1:$C$491,MATCH("投资性房地产",资产负债表!$A$1:$A$491,0))/10000,0)</f>
        <v>0</v>
      </c>
      <c r="E28" s="23">
        <f t="shared" si="5"/>
        <v>0</v>
      </c>
      <c r="F28" s="18">
        <f>IFERROR(INDEX(资产负债表!$D$1:$D$491,MATCH("投资性房地产",资产负债表!$A$1:$A$491,0))/10000,0)</f>
        <v>0</v>
      </c>
      <c r="G28" s="23">
        <f t="shared" si="6"/>
        <v>0</v>
      </c>
      <c r="H28" s="18">
        <f>IFERROR(INDEX(资产负债表!$E$1:$E$491,MATCH("投资性房地产",资产负债表!$A$1:$A$491,0))/10000,0)</f>
        <v>0</v>
      </c>
      <c r="I28" s="23">
        <f t="shared" si="7"/>
        <v>0</v>
      </c>
    </row>
    <row r="29" ht="20" customHeight="1" spans="1:9">
      <c r="A29" s="17" t="s">
        <v>32</v>
      </c>
      <c r="B29" s="18">
        <f>IFERROR(INDEX(资产负债表!$B$1:$B$491,MATCH("固定资产",资产负债表!$A$1:$A$491,0))/10000,0)</f>
        <v>0</v>
      </c>
      <c r="C29" s="23">
        <f t="shared" si="4"/>
        <v>0</v>
      </c>
      <c r="D29" s="18">
        <f>IFERROR(INDEX(资产负债表!$C$1:$C$491,MATCH("固定资产",资产负债表!$A$1:$A$491,0))/10000,0)</f>
        <v>0</v>
      </c>
      <c r="E29" s="23">
        <f t="shared" si="5"/>
        <v>0</v>
      </c>
      <c r="F29" s="18">
        <f>IFERROR(INDEX(资产负债表!$D$1:$D$491,MATCH("固定资产",资产负债表!$A$1:$A$491,0))/10000,0)</f>
        <v>0</v>
      </c>
      <c r="G29" s="23">
        <f t="shared" si="6"/>
        <v>0</v>
      </c>
      <c r="H29" s="18">
        <f>IFERROR(INDEX(资产负债表!$E$1:$E$491,MATCH("固定资产",资产负债表!$A$1:$A$491,0))/10000,0)</f>
        <v>0</v>
      </c>
      <c r="I29" s="23">
        <f t="shared" si="7"/>
        <v>0</v>
      </c>
    </row>
    <row r="30" ht="20" customHeight="1" spans="1:9">
      <c r="A30" s="17" t="s">
        <v>33</v>
      </c>
      <c r="B30" s="18">
        <f>IFERROR(INDEX(资产负债表!$B$1:$B$491,MATCH("在建工程",资产负债表!$A$1:$A$491,0))/10000,0)</f>
        <v>0</v>
      </c>
      <c r="C30" s="23">
        <f t="shared" si="4"/>
        <v>0</v>
      </c>
      <c r="D30" s="18">
        <f>IFERROR(INDEX(资产负债表!$C$1:$C$491,MATCH("在建工程",资产负债表!$A$1:$A$491,0))/10000,0)</f>
        <v>0</v>
      </c>
      <c r="E30" s="23">
        <f t="shared" si="5"/>
        <v>0</v>
      </c>
      <c r="F30" s="18">
        <f>IFERROR(INDEX(资产负债表!$D$1:$D$491,MATCH("在建工程",资产负债表!$A$1:$A$491,0))/10000,0)</f>
        <v>0</v>
      </c>
      <c r="G30" s="23">
        <f t="shared" si="6"/>
        <v>0</v>
      </c>
      <c r="H30" s="18">
        <f>IFERROR(INDEX(资产负债表!$E$1:$E$491,MATCH("在建工程",资产负债表!$A$1:$A$491,0))/10000,0)</f>
        <v>0</v>
      </c>
      <c r="I30" s="23">
        <f t="shared" si="7"/>
        <v>0</v>
      </c>
    </row>
    <row r="31" ht="20" customHeight="1" spans="1:9">
      <c r="A31" s="17" t="s">
        <v>34</v>
      </c>
      <c r="B31" s="18">
        <f>IFERROR(INDEX(资产负债表!$B$1:$B$491,MATCH("生产性生物资产",资产负债表!$A$1:$A$491,0))/10000,0)</f>
        <v>0</v>
      </c>
      <c r="C31" s="23">
        <f t="shared" si="4"/>
        <v>0</v>
      </c>
      <c r="D31" s="18">
        <f>IFERROR(INDEX(资产负债表!$C$1:$C$491,MATCH("生产性生物资产",资产负债表!$A$1:$A$491,0))/10000,0)</f>
        <v>0</v>
      </c>
      <c r="E31" s="23">
        <f t="shared" si="5"/>
        <v>0</v>
      </c>
      <c r="F31" s="18">
        <f>IFERROR(INDEX(资产负债表!$D$1:$D$491,MATCH("生产性生物资产",资产负债表!$A$1:$A$491,0))/10000,0)</f>
        <v>0</v>
      </c>
      <c r="G31" s="23">
        <f t="shared" si="6"/>
        <v>0</v>
      </c>
      <c r="H31" s="18">
        <f>IFERROR(INDEX(资产负债表!$E$1:$E$491,MATCH("生产性生物资产",资产负债表!$A$1:$A$491,0))/10000,0)</f>
        <v>0</v>
      </c>
      <c r="I31" s="23">
        <f t="shared" si="7"/>
        <v>0</v>
      </c>
    </row>
    <row r="32" ht="20" customHeight="1" spans="1:9">
      <c r="A32" s="17" t="s">
        <v>35</v>
      </c>
      <c r="B32" s="18">
        <f>IFERROR(INDEX(资产负债表!$B$1:$B$491,MATCH("油气资产",资产负债表!$A$1:$A$491,0))/10000,0)</f>
        <v>0</v>
      </c>
      <c r="C32" s="23">
        <f t="shared" si="4"/>
        <v>0</v>
      </c>
      <c r="D32" s="18">
        <f>IFERROR(INDEX(资产负债表!$C$1:$C$491,MATCH("油气资产",资产负债表!$A$1:$A$491,0))/10000,0)</f>
        <v>0</v>
      </c>
      <c r="E32" s="23">
        <f t="shared" si="5"/>
        <v>0</v>
      </c>
      <c r="F32" s="18">
        <f>IFERROR(INDEX(资产负债表!$D$1:$D$491,MATCH("油气资产",资产负债表!$A$1:$A$491,0))/10000,0)</f>
        <v>0</v>
      </c>
      <c r="G32" s="23">
        <f t="shared" si="6"/>
        <v>0</v>
      </c>
      <c r="H32" s="18">
        <f>IFERROR(INDEX(资产负债表!$E$1:$E$491,MATCH("油气资产",资产负债表!$A$1:$A$491,0))/10000,0)</f>
        <v>0</v>
      </c>
      <c r="I32" s="23">
        <f t="shared" si="7"/>
        <v>0</v>
      </c>
    </row>
    <row r="33" ht="20" customHeight="1" spans="1:9">
      <c r="A33" s="17" t="s">
        <v>36</v>
      </c>
      <c r="B33" s="18">
        <f>IFERROR(INDEX(资产负债表!$B$1:$B$491,MATCH("使用权资产",资产负债表!$A$1:$A$491,0))/10000,0)</f>
        <v>0</v>
      </c>
      <c r="C33" s="23">
        <f t="shared" si="4"/>
        <v>0</v>
      </c>
      <c r="D33" s="18">
        <f>IFERROR(INDEX(资产负债表!$C$1:$C$491,MATCH("使用权资产",资产负债表!$A$1:$A$491,0))/10000,0)</f>
        <v>0</v>
      </c>
      <c r="E33" s="23">
        <f t="shared" si="5"/>
        <v>0</v>
      </c>
      <c r="F33" s="18">
        <f>IFERROR(INDEX(资产负债表!$D$1:$D$491,MATCH("使用权资产",资产负债表!$A$1:$A$491,0))/10000,0)</f>
        <v>0</v>
      </c>
      <c r="G33" s="23">
        <f t="shared" si="6"/>
        <v>0</v>
      </c>
      <c r="H33" s="18">
        <f>IFERROR(INDEX(资产负债表!$E$1:$E$491,MATCH("使用权资产",资产负债表!$A$1:$A$491,0))/10000,0)</f>
        <v>0</v>
      </c>
      <c r="I33" s="23">
        <f t="shared" si="7"/>
        <v>0</v>
      </c>
    </row>
    <row r="34" ht="20" customHeight="1" spans="1:9">
      <c r="A34" s="17" t="s">
        <v>37</v>
      </c>
      <c r="B34" s="18">
        <f>IFERROR(INDEX(资产负债表!$B$1:$B$491,MATCH("无形资产",资产负债表!$A$1:$A$491,0))/10000,0)</f>
        <v>0</v>
      </c>
      <c r="C34" s="23">
        <f t="shared" si="4"/>
        <v>0</v>
      </c>
      <c r="D34" s="18">
        <f>IFERROR(INDEX(资产负债表!$C$1:$C$491,MATCH("无形资产",资产负债表!$A$1:$A$491,0))/10000,0)</f>
        <v>0</v>
      </c>
      <c r="E34" s="23">
        <f t="shared" si="5"/>
        <v>0</v>
      </c>
      <c r="F34" s="18">
        <f>IFERROR(INDEX(资产负债表!$D$1:$D$491,MATCH("无形资产",资产负债表!$A$1:$A$491,0))/10000,0)</f>
        <v>0</v>
      </c>
      <c r="G34" s="23">
        <f t="shared" si="6"/>
        <v>0</v>
      </c>
      <c r="H34" s="18">
        <f>IFERROR(INDEX(资产负债表!$E$1:$E$491,MATCH("无形资产",资产负债表!$A$1:$A$491,0))/10000,0)</f>
        <v>0</v>
      </c>
      <c r="I34" s="23">
        <f t="shared" si="7"/>
        <v>0</v>
      </c>
    </row>
    <row r="35" ht="20" customHeight="1" spans="1:9">
      <c r="A35" s="17" t="s">
        <v>38</v>
      </c>
      <c r="B35" s="18">
        <f>IFERROR(INDEX(资产负债表!$B$1:$B$491,MATCH("开发支出",资产负债表!$A$1:$A$491,0))/10000,0)</f>
        <v>0</v>
      </c>
      <c r="C35" s="23">
        <f t="shared" si="4"/>
        <v>0</v>
      </c>
      <c r="D35" s="18">
        <f>IFERROR(INDEX(资产负债表!$C$1:$C$491,MATCH("开发支出",资产负债表!$A$1:$A$491,0))/10000,0)</f>
        <v>0</v>
      </c>
      <c r="E35" s="23">
        <f t="shared" si="5"/>
        <v>0</v>
      </c>
      <c r="F35" s="18">
        <f>IFERROR(INDEX(资产负债表!$D$1:$D$491,MATCH("开发支出",资产负债表!$A$1:$A$491,0))/10000,0)</f>
        <v>0</v>
      </c>
      <c r="G35" s="23">
        <f t="shared" si="6"/>
        <v>0</v>
      </c>
      <c r="H35" s="18">
        <f>IFERROR(INDEX(资产负债表!$E$1:$E$491,MATCH("开发支出",资产负债表!$A$1:$A$491,0))/10000,0)</f>
        <v>0</v>
      </c>
      <c r="I35" s="23">
        <f t="shared" si="7"/>
        <v>0</v>
      </c>
    </row>
    <row r="36" ht="20" customHeight="1" spans="1:9">
      <c r="A36" s="17" t="s">
        <v>39</v>
      </c>
      <c r="B36" s="18">
        <f>IFERROR(INDEX(资产负债表!$B$1:$B$491,MATCH("商誉",资产负债表!$A$1:$A$491,0))/10000,0)</f>
        <v>0</v>
      </c>
      <c r="C36" s="23">
        <f t="shared" si="4"/>
        <v>0</v>
      </c>
      <c r="D36" s="18">
        <f>IFERROR(INDEX(资产负债表!$C$1:$C$491,MATCH("商誉",资产负债表!$A$1:$A$491,0))/10000,0)</f>
        <v>0</v>
      </c>
      <c r="E36" s="23">
        <f t="shared" si="5"/>
        <v>0</v>
      </c>
      <c r="F36" s="18">
        <f>IFERROR(INDEX(资产负债表!$D$1:$D$491,MATCH("商誉",资产负债表!$A$1:$A$491,0))/10000,0)</f>
        <v>0</v>
      </c>
      <c r="G36" s="23">
        <f t="shared" si="6"/>
        <v>0</v>
      </c>
      <c r="H36" s="18">
        <f>IFERROR(INDEX(资产负债表!$E$1:$E$491,MATCH("商誉",资产负债表!$A$1:$A$491,0))/10000,0)</f>
        <v>0</v>
      </c>
      <c r="I36" s="23">
        <f t="shared" si="7"/>
        <v>0</v>
      </c>
    </row>
    <row r="37" ht="20" customHeight="1" spans="1:9">
      <c r="A37" s="17" t="s">
        <v>40</v>
      </c>
      <c r="B37" s="18">
        <f>IFERROR(INDEX(资产负债表!$B$1:$B$491,MATCH("长期待摊费用",资产负债表!$A$1:$A$491,0))/10000,0)</f>
        <v>0</v>
      </c>
      <c r="C37" s="23">
        <f t="shared" si="4"/>
        <v>0</v>
      </c>
      <c r="D37" s="18">
        <f>IFERROR(INDEX(资产负债表!$C$1:$C$491,MATCH("长期待摊费用",资产负债表!$A$1:$A$491,0))/10000,0)</f>
        <v>0</v>
      </c>
      <c r="E37" s="23">
        <f t="shared" si="5"/>
        <v>0</v>
      </c>
      <c r="F37" s="18">
        <f>IFERROR(INDEX(资产负债表!$D$1:$D$491,MATCH("长期待摊费用",资产负债表!$A$1:$A$491,0))/10000,0)</f>
        <v>0</v>
      </c>
      <c r="G37" s="23">
        <f t="shared" si="6"/>
        <v>0</v>
      </c>
      <c r="H37" s="18">
        <f>IFERROR(INDEX(资产负债表!$E$1:$E$491,MATCH("长期待摊费用",资产负债表!$A$1:$A$491,0))/10000,0)</f>
        <v>0</v>
      </c>
      <c r="I37" s="23">
        <f t="shared" si="7"/>
        <v>0</v>
      </c>
    </row>
    <row r="38" ht="20" customHeight="1" spans="1:9">
      <c r="A38" s="17" t="s">
        <v>41</v>
      </c>
      <c r="B38" s="18">
        <f>IFERROR(INDEX(资产负债表!$B$1:$B$491,MATCH("递延所得税资产",资产负债表!$A$1:$A$491,0))/10000,0)</f>
        <v>0</v>
      </c>
      <c r="C38" s="23">
        <f t="shared" si="4"/>
        <v>0</v>
      </c>
      <c r="D38" s="18">
        <f>IFERROR(INDEX(资产负债表!$C$1:$C$491,MATCH("递延所得税资产",资产负债表!$A$1:$A$491,0))/10000,0)</f>
        <v>0</v>
      </c>
      <c r="E38" s="23">
        <f t="shared" si="5"/>
        <v>0</v>
      </c>
      <c r="F38" s="18">
        <f>IFERROR(INDEX(资产负债表!$D$1:$D$491,MATCH("递延所得税资产",资产负债表!$A$1:$A$491,0))/10000,0)</f>
        <v>0</v>
      </c>
      <c r="G38" s="23">
        <f t="shared" si="6"/>
        <v>0</v>
      </c>
      <c r="H38" s="18">
        <f>IFERROR(INDEX(资产负债表!$E$1:$E$491,MATCH("递延所得税资产",资产负债表!$A$1:$A$491,0))/10000,0)</f>
        <v>0</v>
      </c>
      <c r="I38" s="23">
        <f t="shared" si="7"/>
        <v>0</v>
      </c>
    </row>
    <row r="39" ht="20" customHeight="1" spans="1:9">
      <c r="A39" s="17" t="s">
        <v>42</v>
      </c>
      <c r="B39" s="18">
        <f>IFERROR(INDEX(资产负债表!$B$1:$B$491,MATCH("其他非流动资产",资产负债表!$A$1:$A$491,0))/10000,0)</f>
        <v>0</v>
      </c>
      <c r="C39" s="23">
        <f t="shared" si="4"/>
        <v>0</v>
      </c>
      <c r="D39" s="18">
        <f>IFERROR(INDEX(资产负债表!$C$1:$C$491,MATCH("其他非流动资产",资产负债表!$A$1:$A$491,0))/10000,0)</f>
        <v>0</v>
      </c>
      <c r="E39" s="23">
        <f t="shared" si="5"/>
        <v>0</v>
      </c>
      <c r="F39" s="18">
        <f>IFERROR(INDEX(资产负债表!$D$1:$D$491,MATCH("其他非流动资产",资产负债表!$A$1:$A$491,0))/10000,0)</f>
        <v>0</v>
      </c>
      <c r="G39" s="23">
        <f t="shared" si="6"/>
        <v>0</v>
      </c>
      <c r="H39" s="18">
        <f>IFERROR(INDEX(资产负债表!$E$1:$E$491,MATCH("其他非流动资产",资产负债表!$A$1:$A$491,0))/10000,0)</f>
        <v>0</v>
      </c>
      <c r="I39" s="23">
        <f t="shared" si="7"/>
        <v>0</v>
      </c>
    </row>
    <row r="40" ht="20" customHeight="1" spans="1:9">
      <c r="A40" s="19" t="s">
        <v>43</v>
      </c>
      <c r="B40" s="20">
        <f>IFERROR(INDEX(资产负债表!$B$1:$B$491,MATCH("非流动资产合计",资产负债表!$A$1:$A$491,0))/10000,0)</f>
        <v>0</v>
      </c>
      <c r="C40" s="25">
        <f t="shared" si="4"/>
        <v>0</v>
      </c>
      <c r="D40" s="20">
        <f>IFERROR(INDEX(资产负债表!$C$1:$C$491,MATCH("非流动资产合计",资产负债表!$A$1:$A$491,0))/10000,0)</f>
        <v>0</v>
      </c>
      <c r="E40" s="24">
        <f t="shared" si="5"/>
        <v>0</v>
      </c>
      <c r="F40" s="20">
        <f>IFERROR(INDEX(资产负债表!$D$1:$D$491,MATCH("非流动资产合计",资产负债表!$A$1:$A$491,0))/10000,0)</f>
        <v>0</v>
      </c>
      <c r="G40" s="24">
        <f t="shared" si="6"/>
        <v>0</v>
      </c>
      <c r="H40" s="20">
        <f>IFERROR(INDEX(资产负债表!$E$1:$E$491,MATCH("非流动资产合计",资产负债表!$A$1:$A$491,0))/10000,0)</f>
        <v>0</v>
      </c>
      <c r="I40" s="24">
        <f t="shared" si="7"/>
        <v>0</v>
      </c>
    </row>
    <row r="41" ht="20" customHeight="1" spans="1:9">
      <c r="A41" s="19" t="s">
        <v>230</v>
      </c>
      <c r="B41" s="20">
        <f>IFERROR(INDEX(资产负债表!$B$1:$B$491,MATCH("资  产  总  计",资产负债表!$A$1:$A$491,0))/10000,0)</f>
        <v>0</v>
      </c>
      <c r="C41" s="24">
        <f t="shared" si="4"/>
        <v>0</v>
      </c>
      <c r="D41" s="20">
        <f>IFERROR(INDEX(资产负债表!$C$1:$C$491,MATCH("资  产  总  计",资产负债表!$A$1:$A$491,0))/10000,0)</f>
        <v>0</v>
      </c>
      <c r="E41" s="24">
        <f t="shared" si="5"/>
        <v>0</v>
      </c>
      <c r="F41" s="20">
        <f>IFERROR(INDEX(资产负债表!$D$1:$D$491,MATCH("资  产  总  计",资产负债表!$A$1:$A$491,0))/10000,0)</f>
        <v>0</v>
      </c>
      <c r="G41" s="24">
        <f t="shared" si="6"/>
        <v>0</v>
      </c>
      <c r="H41" s="20">
        <f>IFERROR(INDEX(资产负债表!$E$1:$E$491,MATCH("资  产  总  计",资产负债表!$A$1:$A$491,0))/10000,0)</f>
        <v>0</v>
      </c>
      <c r="I41" s="24">
        <f t="shared" si="7"/>
        <v>0</v>
      </c>
    </row>
  </sheetData>
  <autoFilter xmlns:etc="http://www.wps.cn/officeDocument/2017/etCustomData" ref="A4:I41" etc:filterBottomFollowUsedRange="0">
    <extLst/>
  </autoFilter>
  <mergeCells count="8">
    <mergeCell ref="A1:I1"/>
    <mergeCell ref="A2:I2"/>
    <mergeCell ref="B3:C3"/>
    <mergeCell ref="D3:E3"/>
    <mergeCell ref="F3:G3"/>
    <mergeCell ref="H3:I3"/>
    <mergeCell ref="A5:I5"/>
    <mergeCell ref="A20:I20"/>
  </mergeCells>
  <pageMargins left="0.25" right="0.25" top="0.45" bottom="0.45" header="0.2" footer="0.2"/>
  <pageSetup paperSize="9" orientation="landscape"/>
  <headerFooter>
    <oddFooter>&amp;C&amp;"宋体"&amp;9 第 &amp;P 页，共 &amp;N 页</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E78"/>
    <pageSetUpPr fitToPage="1"/>
  </sheetPr>
  <dimension ref="A1:I33"/>
  <sheetViews>
    <sheetView showGridLines="0" workbookViewId="0">
      <pane xSplit="1" ySplit="4" topLeftCell="B5" activePane="bottomRight" state="frozen"/>
      <selection/>
      <selection pane="topRight"/>
      <selection pane="bottomLeft"/>
      <selection pane="bottomRight" activeCell="B17" sqref="B17"/>
    </sheetView>
  </sheetViews>
  <sheetFormatPr defaultColWidth="9" defaultRowHeight="16.8"/>
  <cols>
    <col min="1" max="1" width="31" customWidth="1"/>
    <col min="2" max="2" width="15" customWidth="1"/>
    <col min="3" max="3" width="11" customWidth="1"/>
    <col min="4" max="4" width="15" customWidth="1"/>
    <col min="5" max="5" width="11" customWidth="1"/>
    <col min="6" max="6" width="15" customWidth="1"/>
    <col min="7" max="7" width="11" customWidth="1"/>
    <col min="8" max="8" width="15" customWidth="1"/>
    <col min="9" max="9" width="11" customWidth="1"/>
  </cols>
  <sheetData>
    <row r="1" ht="27" customHeight="1" spans="1:9">
      <c r="A1" s="1" t="s">
        <v>231</v>
      </c>
    </row>
    <row r="2" ht="19" customHeight="1" spans="1:9">
      <c r="A2" s="16" t="s">
        <v>225</v>
      </c>
    </row>
    <row r="3" ht="22" customHeight="1" spans="1:9">
      <c r="A3" s="2" t="s">
        <v>226</v>
      </c>
      <c r="B3" s="2" t="str">
        <f>基本信息!B1</f>
        <v>最新一期</v>
      </c>
      <c r="C3" s="7"/>
      <c r="D3" s="2" t="str">
        <f>基本信息!C1</f>
        <v>20xx年</v>
      </c>
      <c r="E3" s="7"/>
      <c r="F3" s="2" t="str">
        <f>基本信息!D1</f>
        <v>20xx年</v>
      </c>
      <c r="G3" s="7"/>
      <c r="H3" s="2" t="str">
        <f>基本信息!E1</f>
        <v>20xx年</v>
      </c>
      <c r="I3" s="7"/>
    </row>
    <row r="4" ht="21" customHeight="1" spans="1:9">
      <c r="A4" s="2" t="s">
        <v>226</v>
      </c>
      <c r="B4" s="2" t="s">
        <v>232</v>
      </c>
      <c r="C4" s="2" t="s">
        <v>228</v>
      </c>
      <c r="D4" s="2" t="s">
        <v>232</v>
      </c>
      <c r="E4" s="2" t="s">
        <v>228</v>
      </c>
      <c r="F4" s="2" t="s">
        <v>232</v>
      </c>
      <c r="G4" s="2" t="s">
        <v>228</v>
      </c>
      <c r="H4" s="2" t="s">
        <v>232</v>
      </c>
      <c r="I4" s="2" t="s">
        <v>228</v>
      </c>
    </row>
    <row r="5" ht="20" customHeight="1" spans="1:9">
      <c r="A5" s="5" t="s">
        <v>45</v>
      </c>
      <c r="B5" s="21"/>
      <c r="C5" s="6"/>
      <c r="D5" s="21"/>
      <c r="E5" s="6"/>
      <c r="F5" s="21"/>
      <c r="G5" s="6"/>
      <c r="H5" s="21"/>
      <c r="I5" s="7"/>
    </row>
    <row r="6" ht="20" customHeight="1" spans="1:9">
      <c r="A6" s="17" t="s">
        <v>46</v>
      </c>
      <c r="B6" s="18">
        <f>IFERROR(INDEX(资产负债表!$B$1:$B$491,MATCH("短期借款",资产负债表!$A$1:$A$491,0))/10000,0)</f>
        <v>0</v>
      </c>
      <c r="C6" s="23">
        <f t="shared" ref="C6:C19" si="0">IFERROR(B6/$B$33,0)</f>
        <v>0</v>
      </c>
      <c r="D6" s="18">
        <f>IFERROR(INDEX(资产负债表!$C$1:$C$491,MATCH("短期借款",资产负债表!$A$1:$A$491,0))/10000,0)</f>
        <v>0</v>
      </c>
      <c r="E6" s="23">
        <f t="shared" ref="E6:E19" si="1">IFERROR(D6/$D$33,0)</f>
        <v>0</v>
      </c>
      <c r="F6" s="18">
        <f>IFERROR(INDEX(资产负债表!$D$1:$D$491,MATCH("短期借款",资产负债表!$A$1:$A$491,0))/10000,0)</f>
        <v>0</v>
      </c>
      <c r="G6" s="23">
        <f t="shared" ref="G6:G19" si="2">IFERROR(F6/$F$33,0)</f>
        <v>0</v>
      </c>
      <c r="H6" s="18">
        <f>IFERROR(INDEX(资产负债表!$E$1:$E$491,MATCH("短期借款",资产负债表!$A$1:$A$491,0))/10000,0)</f>
        <v>0</v>
      </c>
      <c r="I6" s="23">
        <f t="shared" ref="I6:I19" si="3">IFERROR(H6/$H$33,0)</f>
        <v>0</v>
      </c>
    </row>
    <row r="7" ht="20" customHeight="1" spans="1:9">
      <c r="A7" s="17" t="s">
        <v>47</v>
      </c>
      <c r="B7" s="18">
        <f>IFERROR(INDEX(资产负债表!$B$1:$B$491,MATCH("交易性金融负债",资产负债表!$A$1:$A$491,0))/10000,0)</f>
        <v>0</v>
      </c>
      <c r="C7" s="23">
        <f t="shared" si="0"/>
        <v>0</v>
      </c>
      <c r="D7" s="18">
        <f>IFERROR(INDEX(资产负债表!$C$1:$C$491,MATCH("交易性金融负债",资产负债表!$A$1:$A$491,0))/10000,0)</f>
        <v>0</v>
      </c>
      <c r="E7" s="23">
        <f t="shared" si="1"/>
        <v>0</v>
      </c>
      <c r="F7" s="18">
        <f>IFERROR(INDEX(资产负债表!$D$1:$D$491,MATCH("交易性金融负债",资产负债表!$A$1:$A$491,0))/10000,0)</f>
        <v>0</v>
      </c>
      <c r="G7" s="23">
        <f t="shared" si="2"/>
        <v>0</v>
      </c>
      <c r="H7" s="18">
        <f>IFERROR(INDEX(资产负债表!$E$1:$E$491,MATCH("交易性金融负债",资产负债表!$A$1:$A$491,0))/10000,0)</f>
        <v>0</v>
      </c>
      <c r="I7" s="23">
        <f t="shared" si="3"/>
        <v>0</v>
      </c>
    </row>
    <row r="8" ht="20" customHeight="1" spans="1:9">
      <c r="A8" s="17" t="s">
        <v>48</v>
      </c>
      <c r="B8" s="18">
        <f>IFERROR(INDEX(资产负债表!$B$1:$B$491,MATCH("衍生金融负债",资产负债表!$A$1:$A$491,0))/10000,0)</f>
        <v>0</v>
      </c>
      <c r="C8" s="23">
        <f t="shared" si="0"/>
        <v>0</v>
      </c>
      <c r="D8" s="18">
        <f>IFERROR(INDEX(资产负债表!$C$1:$C$491,MATCH("衍生金融负债",资产负债表!$A$1:$A$491,0))/10000,0)</f>
        <v>0</v>
      </c>
      <c r="E8" s="23">
        <f t="shared" si="1"/>
        <v>0</v>
      </c>
      <c r="F8" s="18">
        <f>IFERROR(INDEX(资产负债表!$D$1:$D$491,MATCH("衍生金融负债",资产负债表!$A$1:$A$491,0))/10000,0)</f>
        <v>0</v>
      </c>
      <c r="G8" s="23">
        <f t="shared" si="2"/>
        <v>0</v>
      </c>
      <c r="H8" s="18">
        <f>IFERROR(INDEX(资产负债表!$E$1:$E$491,MATCH("衍生金融负债",资产负债表!$A$1:$A$491,0))/10000,0)</f>
        <v>0</v>
      </c>
      <c r="I8" s="23">
        <f t="shared" si="3"/>
        <v>0</v>
      </c>
    </row>
    <row r="9" ht="20" customHeight="1" spans="1:9">
      <c r="A9" s="17" t="s">
        <v>49</v>
      </c>
      <c r="B9" s="18">
        <f>IFERROR(INDEX(资产负债表!$B$1:$B$491,MATCH("应付票据",资产负债表!$A$1:$A$491,0))/10000,0)</f>
        <v>0</v>
      </c>
      <c r="C9" s="23">
        <f t="shared" si="0"/>
        <v>0</v>
      </c>
      <c r="D9" s="18">
        <f>IFERROR(INDEX(资产负债表!$C$1:$C$491,MATCH("应付票据",资产负债表!$A$1:$A$491,0))/10000,0)</f>
        <v>0</v>
      </c>
      <c r="E9" s="23">
        <f t="shared" si="1"/>
        <v>0</v>
      </c>
      <c r="F9" s="18">
        <f>IFERROR(INDEX(资产负债表!$D$1:$D$491,MATCH("应付票据",资产负债表!$A$1:$A$491,0))/10000,0)</f>
        <v>0</v>
      </c>
      <c r="G9" s="23">
        <f t="shared" si="2"/>
        <v>0</v>
      </c>
      <c r="H9" s="18">
        <f>IFERROR(INDEX(资产负债表!$E$1:$E$491,MATCH("应付票据",资产负债表!$A$1:$A$491,0))/10000,0)</f>
        <v>0</v>
      </c>
      <c r="I9" s="23">
        <f t="shared" si="3"/>
        <v>0</v>
      </c>
    </row>
    <row r="10" ht="20" customHeight="1" spans="1:9">
      <c r="A10" s="17" t="s">
        <v>50</v>
      </c>
      <c r="B10" s="18">
        <f>IFERROR(INDEX(资产负债表!$B$1:$B$491,MATCH("应付账款",资产负债表!$A$1:$A$491,0))/10000,0)</f>
        <v>0</v>
      </c>
      <c r="C10" s="23">
        <f t="shared" si="0"/>
        <v>0</v>
      </c>
      <c r="D10" s="18">
        <f>IFERROR(INDEX(资产负债表!$C$1:$C$491,MATCH("应付账款",资产负债表!$A$1:$A$491,0))/10000,0)</f>
        <v>0</v>
      </c>
      <c r="E10" s="23">
        <f t="shared" si="1"/>
        <v>0</v>
      </c>
      <c r="F10" s="18">
        <f>IFERROR(INDEX(资产负债表!$D$1:$D$491,MATCH("应付账款",资产负债表!$A$1:$A$491,0))/10000,0)</f>
        <v>0</v>
      </c>
      <c r="G10" s="23">
        <f t="shared" si="2"/>
        <v>0</v>
      </c>
      <c r="H10" s="18">
        <f>IFERROR(INDEX(资产负债表!$E$1:$E$491,MATCH("应付账款",资产负债表!$A$1:$A$491,0))/10000,0)</f>
        <v>0</v>
      </c>
      <c r="I10" s="23">
        <f t="shared" si="3"/>
        <v>0</v>
      </c>
    </row>
    <row r="11" ht="20" customHeight="1" spans="1:9">
      <c r="A11" s="17" t="s">
        <v>51</v>
      </c>
      <c r="B11" s="18">
        <f>IFERROR(INDEX(资产负债表!$B$1:$B$491,MATCH("预收款项",资产负债表!$A$1:$A$491,0))/10000,0)</f>
        <v>0</v>
      </c>
      <c r="C11" s="23">
        <f t="shared" si="0"/>
        <v>0</v>
      </c>
      <c r="D11" s="18">
        <f>IFERROR(INDEX(资产负债表!$C$1:$C$491,MATCH("预收款项",资产负债表!$A$1:$A$491,0))/10000,0)</f>
        <v>0</v>
      </c>
      <c r="E11" s="23">
        <f t="shared" si="1"/>
        <v>0</v>
      </c>
      <c r="F11" s="18">
        <f>IFERROR(INDEX(资产负债表!$D$1:$D$491,MATCH("预收款项",资产负债表!$A$1:$A$491,0))/10000,0)</f>
        <v>0</v>
      </c>
      <c r="G11" s="23">
        <f t="shared" si="2"/>
        <v>0</v>
      </c>
      <c r="H11" s="18">
        <f>IFERROR(INDEX(资产负债表!$E$1:$E$491,MATCH("预收款项",资产负债表!$A$1:$A$491,0))/10000,0)</f>
        <v>0</v>
      </c>
      <c r="I11" s="23">
        <f t="shared" si="3"/>
        <v>0</v>
      </c>
    </row>
    <row r="12" ht="20" customHeight="1" spans="1:9">
      <c r="A12" s="17" t="s">
        <v>52</v>
      </c>
      <c r="B12" s="18">
        <f>IFERROR(INDEX(资产负债表!$B$1:$B$491,MATCH("合同负债",资产负债表!$A$1:$A$491,0))/10000,0)</f>
        <v>0</v>
      </c>
      <c r="C12" s="23">
        <f t="shared" si="0"/>
        <v>0</v>
      </c>
      <c r="D12" s="18">
        <f>IFERROR(INDEX(资产负债表!$C$1:$C$491,MATCH("合同负债",资产负债表!$A$1:$A$491,0))/10000,0)</f>
        <v>0</v>
      </c>
      <c r="E12" s="23">
        <f t="shared" si="1"/>
        <v>0</v>
      </c>
      <c r="F12" s="18">
        <f>IFERROR(INDEX(资产负债表!$D$1:$D$491,MATCH("合同负债",资产负债表!$A$1:$A$491,0))/10000,0)</f>
        <v>0</v>
      </c>
      <c r="G12" s="23">
        <f t="shared" si="2"/>
        <v>0</v>
      </c>
      <c r="H12" s="18">
        <f>IFERROR(INDEX(资产负债表!$E$1:$E$491,MATCH("合同负债",资产负债表!$A$1:$A$491,0))/10000,0)</f>
        <v>0</v>
      </c>
      <c r="I12" s="23">
        <f t="shared" si="3"/>
        <v>0</v>
      </c>
    </row>
    <row r="13" ht="20" customHeight="1" spans="1:9">
      <c r="A13" s="17" t="s">
        <v>53</v>
      </c>
      <c r="B13" s="18">
        <f>IFERROR(INDEX(资产负债表!$B$1:$B$491,MATCH("应付职工薪酬",资产负债表!$A$1:$A$491,0))/10000,0)</f>
        <v>0</v>
      </c>
      <c r="C13" s="23">
        <f t="shared" si="0"/>
        <v>0</v>
      </c>
      <c r="D13" s="18">
        <f>IFERROR(INDEX(资产负债表!$C$1:$C$491,MATCH("应付职工薪酬",资产负债表!$A$1:$A$491,0))/10000,0)</f>
        <v>0</v>
      </c>
      <c r="E13" s="23">
        <f t="shared" si="1"/>
        <v>0</v>
      </c>
      <c r="F13" s="18">
        <f>IFERROR(INDEX(资产负债表!$D$1:$D$491,MATCH("应付职工薪酬",资产负债表!$A$1:$A$491,0))/10000,0)</f>
        <v>0</v>
      </c>
      <c r="G13" s="23">
        <f t="shared" si="2"/>
        <v>0</v>
      </c>
      <c r="H13" s="18">
        <f>IFERROR(INDEX(资产负债表!$E$1:$E$491,MATCH("应付职工薪酬",资产负债表!$A$1:$A$491,0))/10000,0)</f>
        <v>0</v>
      </c>
      <c r="I13" s="23">
        <f t="shared" si="3"/>
        <v>0</v>
      </c>
    </row>
    <row r="14" ht="20" customHeight="1" spans="1:9">
      <c r="A14" s="17" t="s">
        <v>54</v>
      </c>
      <c r="B14" s="18">
        <f>IFERROR(INDEX(资产负债表!$B$1:$B$491,MATCH("应交税费",资产负债表!$A$1:$A$491,0))/10000,0)</f>
        <v>0</v>
      </c>
      <c r="C14" s="23">
        <f t="shared" si="0"/>
        <v>0</v>
      </c>
      <c r="D14" s="18">
        <f>IFERROR(INDEX(资产负债表!$C$1:$C$491,MATCH("应交税费",资产负债表!$A$1:$A$491,0))/10000,0)</f>
        <v>0</v>
      </c>
      <c r="E14" s="23">
        <f t="shared" si="1"/>
        <v>0</v>
      </c>
      <c r="F14" s="18">
        <f>IFERROR(INDEX(资产负债表!$D$1:$D$491,MATCH("应交税费",资产负债表!$A$1:$A$491,0))/10000,0)</f>
        <v>0</v>
      </c>
      <c r="G14" s="23">
        <f t="shared" si="2"/>
        <v>0</v>
      </c>
      <c r="H14" s="18">
        <f>IFERROR(INDEX(资产负债表!$E$1:$E$491,MATCH("应交税费",资产负债表!$A$1:$A$491,0))/10000,0)</f>
        <v>0</v>
      </c>
      <c r="I14" s="23">
        <f t="shared" si="3"/>
        <v>0</v>
      </c>
    </row>
    <row r="15" ht="20" customHeight="1" spans="1:9">
      <c r="A15" s="17" t="s">
        <v>55</v>
      </c>
      <c r="B15" s="18">
        <f>IFERROR(INDEX(资产负债表!$B$1:$B$491,MATCH("其他应付款",资产负债表!$A$1:$A$491,0))/10000,0)</f>
        <v>0</v>
      </c>
      <c r="C15" s="23">
        <f t="shared" si="0"/>
        <v>0</v>
      </c>
      <c r="D15" s="18">
        <f>IFERROR(INDEX(资产负债表!$C$1:$C$491,MATCH("其他应付款",资产负债表!$A$1:$A$491,0))/10000,0)</f>
        <v>0</v>
      </c>
      <c r="E15" s="23">
        <f t="shared" si="1"/>
        <v>0</v>
      </c>
      <c r="F15" s="18">
        <f>IFERROR(INDEX(资产负债表!$D$1:$D$491,MATCH("其他应付款",资产负债表!$A$1:$A$491,0))/10000,0)</f>
        <v>0</v>
      </c>
      <c r="G15" s="23">
        <f t="shared" si="2"/>
        <v>0</v>
      </c>
      <c r="H15" s="18">
        <f>IFERROR(INDEX(资产负债表!$E$1:$E$491,MATCH("其他应付款",资产负债表!$A$1:$A$491,0))/10000,0)</f>
        <v>0</v>
      </c>
      <c r="I15" s="23">
        <f t="shared" si="3"/>
        <v>0</v>
      </c>
    </row>
    <row r="16" ht="20" customHeight="1" spans="1:9">
      <c r="A16" s="17" t="s">
        <v>56</v>
      </c>
      <c r="B16" s="18">
        <f>IFERROR(INDEX(资产负债表!$B$1:$B$491,MATCH("持有待售负债",资产负债表!$A$1:$A$491,0))/10000,0)</f>
        <v>0</v>
      </c>
      <c r="C16" s="23">
        <f t="shared" si="0"/>
        <v>0</v>
      </c>
      <c r="D16" s="18">
        <f>IFERROR(INDEX(资产负债表!$C$1:$C$491,MATCH("持有待售负债",资产负债表!$A$1:$A$491,0))/10000,0)</f>
        <v>0</v>
      </c>
      <c r="E16" s="23">
        <f t="shared" si="1"/>
        <v>0</v>
      </c>
      <c r="F16" s="18">
        <f>IFERROR(INDEX(资产负债表!$D$1:$D$491,MATCH("持有待售负债",资产负债表!$A$1:$A$491,0))/10000,0)</f>
        <v>0</v>
      </c>
      <c r="G16" s="23">
        <f t="shared" si="2"/>
        <v>0</v>
      </c>
      <c r="H16" s="18">
        <f>IFERROR(INDEX(资产负债表!$E$1:$E$491,MATCH("持有待售负债",资产负债表!$A$1:$A$491,0))/10000,0)</f>
        <v>0</v>
      </c>
      <c r="I16" s="23">
        <f t="shared" si="3"/>
        <v>0</v>
      </c>
    </row>
    <row r="17" ht="20" customHeight="1" spans="1:9">
      <c r="A17" s="17" t="s">
        <v>57</v>
      </c>
      <c r="B17" s="18">
        <f>IFERROR(INDEX(资产负债表!$B$1:$B$491,MATCH("一年内到期的非流动负债",资产负债表!$A$1:$A$491,0))/10000,0)</f>
        <v>0</v>
      </c>
      <c r="C17" s="23">
        <f t="shared" si="0"/>
        <v>0</v>
      </c>
      <c r="D17" s="18">
        <f>IFERROR(INDEX(资产负债表!$C$1:$C$491,MATCH("一年内到期的非流动负债",资产负债表!$A$1:$A$491,0))/10000,0)</f>
        <v>0</v>
      </c>
      <c r="E17" s="23">
        <f t="shared" si="1"/>
        <v>0</v>
      </c>
      <c r="F17" s="18">
        <f>IFERROR(INDEX(资产负债表!$D$1:$D$491,MATCH("一年内到期的非流动负债",资产负债表!$A$1:$A$491,0))/10000,0)</f>
        <v>0</v>
      </c>
      <c r="G17" s="23">
        <f t="shared" si="2"/>
        <v>0</v>
      </c>
      <c r="H17" s="18">
        <f>IFERROR(INDEX(资产负债表!$E$1:$E$491,MATCH("一年内到期的非流动负债",资产负债表!$A$1:$A$491,0))/10000,0)</f>
        <v>0</v>
      </c>
      <c r="I17" s="23">
        <f t="shared" si="3"/>
        <v>0</v>
      </c>
    </row>
    <row r="18" ht="20" customHeight="1" spans="1:9">
      <c r="A18" s="17" t="s">
        <v>58</v>
      </c>
      <c r="B18" s="18">
        <f>IFERROR(INDEX(资产负债表!$B$1:$B$491,MATCH("其他流动负债",资产负债表!$A$1:$A$491,0))/10000,0)</f>
        <v>0</v>
      </c>
      <c r="C18" s="23">
        <f t="shared" si="0"/>
        <v>0</v>
      </c>
      <c r="D18" s="18">
        <f>IFERROR(INDEX(资产负债表!$C$1:$C$491,MATCH("其他流动负债",资产负债表!$A$1:$A$491,0))/10000,0)</f>
        <v>0</v>
      </c>
      <c r="E18" s="23">
        <f t="shared" si="1"/>
        <v>0</v>
      </c>
      <c r="F18" s="18">
        <f>IFERROR(INDEX(资产负债表!$D$1:$D$491,MATCH("其他流动负债",资产负债表!$A$1:$A$491,0))/10000,0)</f>
        <v>0</v>
      </c>
      <c r="G18" s="23">
        <f t="shared" si="2"/>
        <v>0</v>
      </c>
      <c r="H18" s="18">
        <f>IFERROR(INDEX(资产负债表!$E$1:$E$491,MATCH("其他流动负债",资产负债表!$A$1:$A$491,0))/10000,0)</f>
        <v>0</v>
      </c>
      <c r="I18" s="23">
        <f t="shared" si="3"/>
        <v>0</v>
      </c>
    </row>
    <row r="19" ht="20" customHeight="1" spans="1:9">
      <c r="A19" s="19" t="s">
        <v>59</v>
      </c>
      <c r="B19" s="20">
        <f>IFERROR(INDEX(资产负债表!$B$1:$B$491,MATCH("流动负债合计",资产负债表!$A$1:$A$491,0))/10000,0)</f>
        <v>0</v>
      </c>
      <c r="C19" s="24">
        <f t="shared" si="0"/>
        <v>0</v>
      </c>
      <c r="D19" s="20">
        <f>IFERROR(INDEX(资产负债表!$C$1:$C$491,MATCH("流动负债合计",资产负债表!$A$1:$A$491,0))/10000,0)</f>
        <v>0</v>
      </c>
      <c r="E19" s="24">
        <f t="shared" si="1"/>
        <v>0</v>
      </c>
      <c r="F19" s="20">
        <f>IFERROR(INDEX(资产负债表!$D$1:$D$491,MATCH("流动负债合计",资产负债表!$A$1:$A$491,0))/10000,0)</f>
        <v>0</v>
      </c>
      <c r="G19" s="24">
        <f t="shared" si="2"/>
        <v>0</v>
      </c>
      <c r="H19" s="20">
        <f>IFERROR(INDEX(资产负债表!$E$1:$E$491,MATCH("流动负债合计",资产负债表!$A$1:$A$491,0))/10000,0)</f>
        <v>0</v>
      </c>
      <c r="I19" s="24">
        <f t="shared" si="3"/>
        <v>0</v>
      </c>
    </row>
    <row r="20" ht="20" customHeight="1" spans="1:9">
      <c r="A20" s="5" t="s">
        <v>60</v>
      </c>
      <c r="B20" s="21"/>
      <c r="C20" s="6"/>
      <c r="D20" s="21"/>
      <c r="E20" s="6"/>
      <c r="F20" s="21"/>
      <c r="G20" s="6"/>
      <c r="H20" s="21"/>
      <c r="I20" s="7"/>
    </row>
    <row r="21" ht="20" customHeight="1" spans="1:9">
      <c r="A21" s="17" t="s">
        <v>61</v>
      </c>
      <c r="B21" s="18">
        <f>IFERROR(INDEX(资产负债表!$B$1:$B$491,MATCH("长期借款",资产负债表!$A$1:$A$491,0))/10000,0)</f>
        <v>0</v>
      </c>
      <c r="C21" s="23">
        <f t="shared" ref="C21:C33" si="4">IFERROR(B21/$B$33,0)</f>
        <v>0</v>
      </c>
      <c r="D21" s="18">
        <f>IFERROR(INDEX(资产负债表!$C$1:$C$491,MATCH("长期借款",资产负债表!$A$1:$A$491,0))/10000,0)</f>
        <v>0</v>
      </c>
      <c r="E21" s="23">
        <f t="shared" ref="E21:E33" si="5">IFERROR(D21/$D$33,0)</f>
        <v>0</v>
      </c>
      <c r="F21" s="18">
        <f>IFERROR(INDEX(资产负债表!$D$1:$D$491,MATCH("长期借款",资产负债表!$A$1:$A$491,0))/10000,0)</f>
        <v>0</v>
      </c>
      <c r="G21" s="23">
        <f t="shared" ref="G21:G33" si="6">IFERROR(F21/$F$33,0)</f>
        <v>0</v>
      </c>
      <c r="H21" s="18">
        <f>IFERROR(INDEX(资产负债表!$E$1:$E$491,MATCH("长期借款",资产负债表!$A$1:$A$491,0))/10000,0)</f>
        <v>0</v>
      </c>
      <c r="I21" s="23">
        <f t="shared" ref="I21:I33" si="7">IFERROR(H21/$H$33,0)</f>
        <v>0</v>
      </c>
    </row>
    <row r="22" ht="20" customHeight="1" spans="1:9">
      <c r="A22" s="17" t="s">
        <v>62</v>
      </c>
      <c r="B22" s="18">
        <f>IFERROR(INDEX(资产负债表!$B$1:$B$491,MATCH("应付债券",资产负债表!$A$1:$A$491,0))/10000,0)</f>
        <v>0</v>
      </c>
      <c r="C22" s="23">
        <f t="shared" si="4"/>
        <v>0</v>
      </c>
      <c r="D22" s="18">
        <f>IFERROR(INDEX(资产负债表!$C$1:$C$491,MATCH("应付债券",资产负债表!$A$1:$A$491,0))/10000,0)</f>
        <v>0</v>
      </c>
      <c r="E22" s="23">
        <f t="shared" si="5"/>
        <v>0</v>
      </c>
      <c r="F22" s="18">
        <f>IFERROR(INDEX(资产负债表!$D$1:$D$491,MATCH("应付债券",资产负债表!$A$1:$A$491,0))/10000,0)</f>
        <v>0</v>
      </c>
      <c r="G22" s="23">
        <f t="shared" si="6"/>
        <v>0</v>
      </c>
      <c r="H22" s="18">
        <f>IFERROR(INDEX(资产负债表!$E$1:$E$491,MATCH("应付债券",资产负债表!$A$1:$A$491,0))/10000,0)</f>
        <v>0</v>
      </c>
      <c r="I22" s="23">
        <f t="shared" si="7"/>
        <v>0</v>
      </c>
    </row>
    <row r="23" ht="20" customHeight="1" spans="1:9">
      <c r="A23" s="17" t="s">
        <v>63</v>
      </c>
      <c r="B23" s="18">
        <f>IFERROR(INDEX(资产负债表!$B$1:$B$491,MATCH("其中：优先股",资产负债表!$A$1:$A$491,0))/10000,0)</f>
        <v>0</v>
      </c>
      <c r="C23" s="23">
        <f t="shared" si="4"/>
        <v>0</v>
      </c>
      <c r="D23" s="18">
        <f>IFERROR(INDEX(资产负债表!$C$1:$C$491,MATCH("其中：优先股",资产负债表!$A$1:$A$491,0))/10000,0)</f>
        <v>0</v>
      </c>
      <c r="E23" s="23">
        <f t="shared" si="5"/>
        <v>0</v>
      </c>
      <c r="F23" s="18">
        <f>IFERROR(INDEX(资产负债表!$D$1:$D$491,MATCH("其中：优先股",资产负债表!$A$1:$A$491,0))/10000,0)</f>
        <v>0</v>
      </c>
      <c r="G23" s="23">
        <f t="shared" si="6"/>
        <v>0</v>
      </c>
      <c r="H23" s="18">
        <f>IFERROR(INDEX(资产负债表!$E$1:$E$491,MATCH("其中：优先股",资产负债表!$A$1:$A$491,0))/10000,0)</f>
        <v>0</v>
      </c>
      <c r="I23" s="23">
        <f t="shared" si="7"/>
        <v>0</v>
      </c>
    </row>
    <row r="24" ht="20" customHeight="1" spans="1:9">
      <c r="A24" s="17" t="s">
        <v>64</v>
      </c>
      <c r="B24" s="18">
        <f>IFERROR(INDEX(资产负债表!$B$1:$B$491,MATCH("      永续债",资产负债表!$A$1:$A$491,0))/10000,0)</f>
        <v>0</v>
      </c>
      <c r="C24" s="23">
        <f t="shared" si="4"/>
        <v>0</v>
      </c>
      <c r="D24" s="18">
        <f>IFERROR(INDEX(资产负债表!$C$1:$C$491,MATCH("      永续债",资产负债表!$A$1:$A$491,0))/10000,0)</f>
        <v>0</v>
      </c>
      <c r="E24" s="23">
        <f t="shared" si="5"/>
        <v>0</v>
      </c>
      <c r="F24" s="18">
        <f>IFERROR(INDEX(资产负债表!$D$1:$D$491,MATCH("      永续债",资产负债表!$A$1:$A$491,0))/10000,0)</f>
        <v>0</v>
      </c>
      <c r="G24" s="23">
        <f t="shared" si="6"/>
        <v>0</v>
      </c>
      <c r="H24" s="18">
        <f>IFERROR(INDEX(资产负债表!$E$1:$E$491,MATCH("      永续债",资产负债表!$A$1:$A$491,0))/10000,0)</f>
        <v>0</v>
      </c>
      <c r="I24" s="23">
        <f t="shared" si="7"/>
        <v>0</v>
      </c>
    </row>
    <row r="25" ht="20" customHeight="1" spans="1:9">
      <c r="A25" s="17" t="s">
        <v>65</v>
      </c>
      <c r="B25" s="18">
        <f>IFERROR(INDEX(资产负债表!$B$1:$B$491,MATCH("租赁负债",资产负债表!$A$1:$A$491,0))/10000,0)</f>
        <v>0</v>
      </c>
      <c r="C25" s="23">
        <f t="shared" si="4"/>
        <v>0</v>
      </c>
      <c r="D25" s="18">
        <f>IFERROR(INDEX(资产负债表!$C$1:$C$491,MATCH("租赁负债",资产负债表!$A$1:$A$491,0))/10000,0)</f>
        <v>0</v>
      </c>
      <c r="E25" s="23">
        <f t="shared" si="5"/>
        <v>0</v>
      </c>
      <c r="F25" s="18">
        <f>IFERROR(INDEX(资产负债表!$D$1:$D$491,MATCH("租赁负债",资产负债表!$A$1:$A$491,0))/10000,0)</f>
        <v>0</v>
      </c>
      <c r="G25" s="23">
        <f t="shared" si="6"/>
        <v>0</v>
      </c>
      <c r="H25" s="18">
        <f>IFERROR(INDEX(资产负债表!$E$1:$E$491,MATCH("租赁负债",资产负债表!$A$1:$A$491,0))/10000,0)</f>
        <v>0</v>
      </c>
      <c r="I25" s="23">
        <f t="shared" si="7"/>
        <v>0</v>
      </c>
    </row>
    <row r="26" ht="20" customHeight="1" spans="1:9">
      <c r="A26" s="17" t="s">
        <v>66</v>
      </c>
      <c r="B26" s="18">
        <f>IFERROR(INDEX(资产负债表!$B$1:$B$491,MATCH("长期应付款",资产负债表!$A$1:$A$491,0))/10000,0)</f>
        <v>0</v>
      </c>
      <c r="C26" s="23">
        <f t="shared" si="4"/>
        <v>0</v>
      </c>
      <c r="D26" s="18">
        <f>IFERROR(INDEX(资产负债表!$C$1:$C$491,MATCH("长期应付款",资产负债表!$A$1:$A$491,0))/10000,0)</f>
        <v>0</v>
      </c>
      <c r="E26" s="23">
        <f t="shared" si="5"/>
        <v>0</v>
      </c>
      <c r="F26" s="18">
        <f>IFERROR(INDEX(资产负债表!$D$1:$D$491,MATCH("长期应付款",资产负债表!$A$1:$A$491,0))/10000,0)</f>
        <v>0</v>
      </c>
      <c r="G26" s="23">
        <f t="shared" si="6"/>
        <v>0</v>
      </c>
      <c r="H26" s="18">
        <f>IFERROR(INDEX(资产负债表!$E$1:$E$491,MATCH("长期应付款",资产负债表!$A$1:$A$491,0))/10000,0)</f>
        <v>0</v>
      </c>
      <c r="I26" s="23">
        <f t="shared" si="7"/>
        <v>0</v>
      </c>
    </row>
    <row r="27" ht="20" customHeight="1" spans="1:9">
      <c r="A27" s="17" t="s">
        <v>233</v>
      </c>
      <c r="B27" s="18">
        <f>IFERROR(INDEX(资产负债表!$B$1:$B$491,MATCH("长期应付职工薪酬",资产负债表!$A$1:$A$491,0))/10000,0)</f>
        <v>0</v>
      </c>
      <c r="C27" s="23">
        <f t="shared" si="4"/>
        <v>0</v>
      </c>
      <c r="D27" s="18">
        <f>IFERROR(INDEX(资产负债表!$C$1:$C$491,MATCH("长期应付职工薪酬",资产负债表!$A$1:$A$491,0))/10000,0)</f>
        <v>0</v>
      </c>
      <c r="E27" s="23">
        <f t="shared" si="5"/>
        <v>0</v>
      </c>
      <c r="F27" s="18">
        <f>IFERROR(INDEX(资产负债表!$D$1:$D$491,MATCH("长期应付职工薪酬",资产负债表!$A$1:$A$491,0))/10000,0)</f>
        <v>0</v>
      </c>
      <c r="G27" s="23">
        <f t="shared" si="6"/>
        <v>0</v>
      </c>
      <c r="H27" s="18">
        <f>IFERROR(INDEX(资产负债表!$E$1:$E$491,MATCH("长期应付职工薪酬",资产负债表!$A$1:$A$491,0))/10000,0)</f>
        <v>0</v>
      </c>
      <c r="I27" s="23">
        <f t="shared" si="7"/>
        <v>0</v>
      </c>
    </row>
    <row r="28" ht="20" customHeight="1" spans="1:9">
      <c r="A28" s="17" t="s">
        <v>67</v>
      </c>
      <c r="B28" s="18">
        <f>IFERROR(INDEX(资产负债表!$B$1:$B$491,MATCH("预计负债",资产负债表!$A$1:$A$491,0))/10000,0)</f>
        <v>0</v>
      </c>
      <c r="C28" s="23">
        <f t="shared" si="4"/>
        <v>0</v>
      </c>
      <c r="D28" s="18">
        <f>IFERROR(INDEX(资产负债表!$C$1:$C$491,MATCH("预计负债",资产负债表!$A$1:$A$491,0))/10000,0)</f>
        <v>0</v>
      </c>
      <c r="E28" s="23">
        <f t="shared" si="5"/>
        <v>0</v>
      </c>
      <c r="F28" s="18">
        <f>IFERROR(INDEX(资产负债表!$D$1:$D$491,MATCH("预计负债",资产负债表!$A$1:$A$491,0))/10000,0)</f>
        <v>0</v>
      </c>
      <c r="G28" s="23">
        <f t="shared" si="6"/>
        <v>0</v>
      </c>
      <c r="H28" s="18">
        <f>IFERROR(INDEX(资产负债表!$E$1:$E$491,MATCH("预计负债",资产负债表!$A$1:$A$491,0))/10000,0)</f>
        <v>0</v>
      </c>
      <c r="I28" s="23">
        <f t="shared" si="7"/>
        <v>0</v>
      </c>
    </row>
    <row r="29" ht="20" customHeight="1" spans="1:9">
      <c r="A29" s="17" t="s">
        <v>68</v>
      </c>
      <c r="B29" s="18">
        <f>IFERROR(INDEX(资产负债表!$B$1:$B$491,MATCH("递延收益",资产负债表!$A$1:$A$491,0))/10000,0)</f>
        <v>0</v>
      </c>
      <c r="C29" s="23">
        <f t="shared" si="4"/>
        <v>0</v>
      </c>
      <c r="D29" s="18">
        <f>IFERROR(INDEX(资产负债表!$C$1:$C$491,MATCH("递延收益",资产负债表!$A$1:$A$491,0))/10000,0)</f>
        <v>0</v>
      </c>
      <c r="E29" s="23">
        <f t="shared" si="5"/>
        <v>0</v>
      </c>
      <c r="F29" s="18">
        <f>IFERROR(INDEX(资产负债表!$D$1:$D$491,MATCH("递延收益",资产负债表!$A$1:$A$491,0))/10000,0)</f>
        <v>0</v>
      </c>
      <c r="G29" s="23">
        <f t="shared" si="6"/>
        <v>0</v>
      </c>
      <c r="H29" s="18">
        <f>IFERROR(INDEX(资产负债表!$E$1:$E$491,MATCH("递延收益",资产负债表!$A$1:$A$491,0))/10000,0)</f>
        <v>0</v>
      </c>
      <c r="I29" s="23">
        <f t="shared" si="7"/>
        <v>0</v>
      </c>
    </row>
    <row r="30" ht="20" customHeight="1" spans="1:9">
      <c r="A30" s="17" t="s">
        <v>69</v>
      </c>
      <c r="B30" s="18">
        <f>IFERROR(INDEX(资产负债表!$B$1:$B$491,MATCH("递延所得税负债",资产负债表!$A$1:$A$491,0))/10000,0)</f>
        <v>0</v>
      </c>
      <c r="C30" s="23">
        <f t="shared" si="4"/>
        <v>0</v>
      </c>
      <c r="D30" s="18">
        <f>IFERROR(INDEX(资产负债表!$C$1:$C$491,MATCH("递延所得税负债",资产负债表!$A$1:$A$491,0))/10000,0)</f>
        <v>0</v>
      </c>
      <c r="E30" s="23">
        <f t="shared" si="5"/>
        <v>0</v>
      </c>
      <c r="F30" s="18">
        <f>IFERROR(INDEX(资产负债表!$D$1:$D$491,MATCH("递延所得税负债",资产负债表!$A$1:$A$491,0))/10000,0)</f>
        <v>0</v>
      </c>
      <c r="G30" s="23">
        <f t="shared" si="6"/>
        <v>0</v>
      </c>
      <c r="H30" s="18">
        <f>IFERROR(INDEX(资产负债表!$E$1:$E$491,MATCH("递延所得税负债",资产负债表!$A$1:$A$491,0))/10000,0)</f>
        <v>0</v>
      </c>
      <c r="I30" s="23">
        <f t="shared" si="7"/>
        <v>0</v>
      </c>
    </row>
    <row r="31" ht="20" customHeight="1" spans="1:9">
      <c r="A31" s="17" t="s">
        <v>70</v>
      </c>
      <c r="B31" s="18">
        <f>IFERROR(INDEX(资产负债表!$B$1:$B$491,MATCH("其他非流动负债",资产负债表!$A$1:$A$491,0))/10000,0)</f>
        <v>0</v>
      </c>
      <c r="C31" s="23">
        <f t="shared" si="4"/>
        <v>0</v>
      </c>
      <c r="D31" s="18">
        <f>IFERROR(INDEX(资产负债表!$C$1:$C$491,MATCH("其他非流动负债",资产负债表!$A$1:$A$491,0))/10000,0)</f>
        <v>0</v>
      </c>
      <c r="E31" s="23">
        <f t="shared" si="5"/>
        <v>0</v>
      </c>
      <c r="F31" s="18">
        <f>IFERROR(INDEX(资产负债表!$D$1:$D$491,MATCH("其他非流动负债",资产负债表!$A$1:$A$491,0))/10000,0)</f>
        <v>0</v>
      </c>
      <c r="G31" s="23">
        <f t="shared" si="6"/>
        <v>0</v>
      </c>
      <c r="H31" s="18">
        <f>IFERROR(INDEX(资产负债表!$E$1:$E$491,MATCH("其他非流动负债",资产负债表!$A$1:$A$491,0))/10000,0)</f>
        <v>0</v>
      </c>
      <c r="I31" s="23">
        <f t="shared" si="7"/>
        <v>0</v>
      </c>
    </row>
    <row r="32" ht="20" customHeight="1" spans="1:9">
      <c r="A32" s="19" t="s">
        <v>71</v>
      </c>
      <c r="B32" s="20">
        <f>IFERROR(INDEX(资产负债表!$B$1:$B$491,MATCH("非流动负债合计",资产负债表!$A$1:$A$491,0))/10000,0)</f>
        <v>0</v>
      </c>
      <c r="C32" s="24">
        <f t="shared" si="4"/>
        <v>0</v>
      </c>
      <c r="D32" s="20">
        <f>IFERROR(INDEX(资产负债表!$C$1:$C$491,MATCH("非流动负债合计",资产负债表!$A$1:$A$491,0))/10000,0)</f>
        <v>0</v>
      </c>
      <c r="E32" s="24">
        <f t="shared" si="5"/>
        <v>0</v>
      </c>
      <c r="F32" s="20">
        <f>IFERROR(INDEX(资产负债表!$D$1:$D$491,MATCH("非流动负债合计",资产负债表!$A$1:$A$491,0))/10000,0)</f>
        <v>0</v>
      </c>
      <c r="G32" s="24">
        <f t="shared" si="6"/>
        <v>0</v>
      </c>
      <c r="H32" s="20">
        <f>IFERROR(INDEX(资产负债表!$E$1:$E$491,MATCH("非流动负债合计",资产负债表!$A$1:$A$491,0))/10000,0)</f>
        <v>0</v>
      </c>
      <c r="I32" s="24">
        <f t="shared" si="7"/>
        <v>0</v>
      </c>
    </row>
    <row r="33" ht="20" customHeight="1" spans="1:9">
      <c r="A33" s="19" t="s">
        <v>234</v>
      </c>
      <c r="B33" s="20">
        <f>IFERROR(INDEX(资产负债表!$B$1:$B$491,MATCH("负 债 合 计",资产负债表!$A$1:$A$491,0))/10000,0)</f>
        <v>0</v>
      </c>
      <c r="C33" s="24">
        <f t="shared" si="4"/>
        <v>0</v>
      </c>
      <c r="D33" s="20">
        <f>IFERROR(INDEX(资产负债表!$C$1:$C$491,MATCH("负 债 合 计",资产负债表!$A$1:$A$491,0))/10000,0)</f>
        <v>0</v>
      </c>
      <c r="E33" s="24">
        <f t="shared" si="5"/>
        <v>0</v>
      </c>
      <c r="F33" s="20">
        <f>IFERROR(INDEX(资产负债表!$D$1:$D$491,MATCH("负 债 合 计",资产负债表!$A$1:$A$491,0))/10000,0)</f>
        <v>0</v>
      </c>
      <c r="G33" s="24">
        <f t="shared" si="6"/>
        <v>0</v>
      </c>
      <c r="H33" s="20">
        <f>IFERROR(INDEX(资产负债表!$E$1:$E$491,MATCH("负 债 合 计",资产负债表!$A$1:$A$491,0))/10000,0)</f>
        <v>0</v>
      </c>
      <c r="I33" s="24">
        <f t="shared" si="7"/>
        <v>0</v>
      </c>
    </row>
  </sheetData>
  <autoFilter xmlns:etc="http://www.wps.cn/officeDocument/2017/etCustomData" ref="A4:I33" etc:filterBottomFollowUsedRange="0">
    <extLst/>
  </autoFilter>
  <mergeCells count="8">
    <mergeCell ref="A1:I1"/>
    <mergeCell ref="A2:I2"/>
    <mergeCell ref="B3:C3"/>
    <mergeCell ref="D3:E3"/>
    <mergeCell ref="F3:G3"/>
    <mergeCell ref="H3:I3"/>
    <mergeCell ref="A5:I5"/>
    <mergeCell ref="A20:I20"/>
  </mergeCells>
  <pageMargins left="0.25" right="0.25" top="0.45" bottom="0.45" header="0.2" footer="0.2"/>
  <pageSetup paperSize="9" orientation="landscape"/>
  <headerFooter>
    <oddFooter>&amp;C&amp;"宋体"&amp;9 第 &amp;P 页，共 &amp;N 页</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E78"/>
    <pageSetUpPr fitToPage="1"/>
  </sheetPr>
  <dimension ref="A1:E26"/>
  <sheetViews>
    <sheetView showGridLines="0" workbookViewId="0">
      <pane xSplit="1" ySplit="3" topLeftCell="B4" activePane="bottomRight" state="frozen"/>
      <selection/>
      <selection pane="topRight"/>
      <selection pane="bottomLeft"/>
      <selection pane="bottomRight" activeCell="D14" sqref="D14"/>
    </sheetView>
  </sheetViews>
  <sheetFormatPr defaultColWidth="9" defaultRowHeight="16.8" outlineLevelCol="4"/>
  <cols>
    <col min="1" max="1" width="42" customWidth="1"/>
    <col min="2" max="5" width="17" customWidth="1"/>
  </cols>
  <sheetData>
    <row r="1" ht="27" customHeight="1" spans="1:5">
      <c r="A1" s="1" t="s">
        <v>235</v>
      </c>
    </row>
    <row r="2" ht="19" customHeight="1" spans="1:5">
      <c r="A2" s="16" t="s">
        <v>236</v>
      </c>
    </row>
    <row r="3" ht="23" customHeight="1" spans="1:5">
      <c r="A3" s="2" t="s">
        <v>0</v>
      </c>
      <c r="B3" s="2" t="str">
        <f>基本信息!B1</f>
        <v>最新一期</v>
      </c>
      <c r="C3" s="2" t="str">
        <f>基本信息!C1</f>
        <v>20xx年</v>
      </c>
      <c r="D3" s="2" t="str">
        <f>基本信息!D1</f>
        <v>20xx年</v>
      </c>
      <c r="E3" s="2" t="str">
        <f>基本信息!E1</f>
        <v>20xx年</v>
      </c>
    </row>
    <row r="4" ht="20" customHeight="1" spans="1:5">
      <c r="A4" s="19" t="s">
        <v>86</v>
      </c>
      <c r="B4" s="20">
        <f>利润表!B2/10000</f>
        <v>0</v>
      </c>
      <c r="C4" s="20">
        <f>利润表!C2/10000</f>
        <v>0</v>
      </c>
      <c r="D4" s="20">
        <f>利润表!D2/10000</f>
        <v>0</v>
      </c>
      <c r="E4" s="20">
        <f>利润表!E2/10000</f>
        <v>0</v>
      </c>
    </row>
    <row r="5" ht="20" customHeight="1" spans="1:5">
      <c r="A5" s="19" t="s">
        <v>88</v>
      </c>
      <c r="B5" s="20">
        <f>利润表!B4/10000</f>
        <v>0</v>
      </c>
      <c r="C5" s="20">
        <f>利润表!C4/10000</f>
        <v>0</v>
      </c>
      <c r="D5" s="20">
        <f>利润表!D4/10000</f>
        <v>0</v>
      </c>
      <c r="E5" s="20">
        <f>利润表!E4/10000</f>
        <v>0</v>
      </c>
    </row>
    <row r="6" ht="20" customHeight="1" spans="1:5">
      <c r="A6" s="17" t="s">
        <v>89</v>
      </c>
      <c r="B6" s="18">
        <f>利润表!B5/10000</f>
        <v>0</v>
      </c>
      <c r="C6" s="18">
        <f>利润表!C5/10000</f>
        <v>0</v>
      </c>
      <c r="D6" s="18">
        <f>利润表!D5/10000</f>
        <v>0</v>
      </c>
      <c r="E6" s="18">
        <f>利润表!E5/10000</f>
        <v>0</v>
      </c>
    </row>
    <row r="7" ht="20" customHeight="1" spans="1:5">
      <c r="A7" s="17" t="s">
        <v>237</v>
      </c>
      <c r="B7" s="18">
        <f>利润表!B6/10000</f>
        <v>0</v>
      </c>
      <c r="C7" s="18">
        <f>利润表!C6/10000</f>
        <v>0</v>
      </c>
      <c r="D7" s="18">
        <f>利润表!D6/10000</f>
        <v>0</v>
      </c>
      <c r="E7" s="18">
        <f>利润表!E6/10000</f>
        <v>0</v>
      </c>
    </row>
    <row r="8" ht="20" customHeight="1" spans="1:5">
      <c r="A8" s="17" t="s">
        <v>238</v>
      </c>
      <c r="B8" s="18">
        <f>利润表!B7/10000</f>
        <v>0</v>
      </c>
      <c r="C8" s="18">
        <f>利润表!C7/10000</f>
        <v>0</v>
      </c>
      <c r="D8" s="18">
        <f>利润表!D7/10000</f>
        <v>0</v>
      </c>
      <c r="E8" s="18">
        <f>利润表!E7/10000</f>
        <v>0</v>
      </c>
    </row>
    <row r="9" ht="20" customHeight="1" spans="1:5">
      <c r="A9" s="17" t="s">
        <v>239</v>
      </c>
      <c r="B9" s="18">
        <f>利润表!B8/10000</f>
        <v>0</v>
      </c>
      <c r="C9" s="18">
        <f>利润表!C8/10000</f>
        <v>0</v>
      </c>
      <c r="D9" s="18">
        <f>利润表!D8/10000</f>
        <v>0</v>
      </c>
      <c r="E9" s="18">
        <f>利润表!E8/10000</f>
        <v>0</v>
      </c>
    </row>
    <row r="10" ht="20" customHeight="1" spans="1:5">
      <c r="A10" s="17" t="s">
        <v>240</v>
      </c>
      <c r="B10" s="18">
        <f>利润表!B9/10000</f>
        <v>0</v>
      </c>
      <c r="C10" s="18">
        <f>利润表!C9/10000</f>
        <v>0</v>
      </c>
      <c r="D10" s="18">
        <f>利润表!D9/10000</f>
        <v>0</v>
      </c>
      <c r="E10" s="18">
        <f>利润表!E9/10000</f>
        <v>0</v>
      </c>
    </row>
    <row r="11" ht="20" customHeight="1" spans="1:5">
      <c r="A11" s="17" t="s">
        <v>241</v>
      </c>
      <c r="B11" s="18">
        <f>利润表!B10/10000</f>
        <v>0</v>
      </c>
      <c r="C11" s="18">
        <f>利润表!C10/10000</f>
        <v>0</v>
      </c>
      <c r="D11" s="18">
        <f>利润表!D10/10000</f>
        <v>0</v>
      </c>
      <c r="E11" s="18">
        <f>利润表!E10/10000</f>
        <v>0</v>
      </c>
    </row>
    <row r="12" ht="20" customHeight="1" spans="1:5">
      <c r="A12" s="17" t="s">
        <v>242</v>
      </c>
      <c r="B12" s="18">
        <f>利润表!B13/10000</f>
        <v>0</v>
      </c>
      <c r="C12" s="18">
        <f>利润表!C13/10000</f>
        <v>0</v>
      </c>
      <c r="D12" s="18">
        <f>利润表!D13/10000</f>
        <v>0</v>
      </c>
      <c r="E12" s="18">
        <f>利润表!E13/10000</f>
        <v>0</v>
      </c>
    </row>
    <row r="13" ht="20" customHeight="1" spans="1:5">
      <c r="A13" s="17" t="s">
        <v>243</v>
      </c>
      <c r="B13" s="18">
        <f>利润表!B14/10000</f>
        <v>0</v>
      </c>
      <c r="C13" s="18">
        <f>利润表!C14/10000</f>
        <v>0</v>
      </c>
      <c r="D13" s="18">
        <f>利润表!D14/10000</f>
        <v>0</v>
      </c>
      <c r="E13" s="18">
        <f>利润表!E14/10000</f>
        <v>0</v>
      </c>
    </row>
    <row r="14" ht="20" customHeight="1" spans="1:5">
      <c r="A14" s="17" t="s">
        <v>244</v>
      </c>
      <c r="B14" s="18">
        <f>利润表!B15/10000</f>
        <v>0</v>
      </c>
      <c r="C14" s="18">
        <f>利润表!C15/10000</f>
        <v>0</v>
      </c>
      <c r="D14" s="18">
        <f>利润表!D15/10000</f>
        <v>0</v>
      </c>
      <c r="E14" s="18">
        <f>利润表!E15/10000</f>
        <v>0</v>
      </c>
    </row>
    <row r="15" ht="20" customHeight="1" spans="1:5">
      <c r="A15" s="17" t="s">
        <v>245</v>
      </c>
      <c r="B15" s="18">
        <f>利润表!B18/10000</f>
        <v>0</v>
      </c>
      <c r="C15" s="18">
        <f>利润表!C18/10000</f>
        <v>0</v>
      </c>
      <c r="D15" s="18">
        <f>利润表!D18/10000</f>
        <v>0</v>
      </c>
      <c r="E15" s="18">
        <f>利润表!E18/10000</f>
        <v>0</v>
      </c>
    </row>
    <row r="16" ht="29" customHeight="1" spans="1:5">
      <c r="A16" s="17" t="s">
        <v>246</v>
      </c>
      <c r="B16" s="18">
        <f>利润表!B20/10000</f>
        <v>0</v>
      </c>
      <c r="C16" s="18">
        <f>利润表!C20/10000</f>
        <v>0</v>
      </c>
      <c r="D16" s="18">
        <f>利润表!D20/10000</f>
        <v>0</v>
      </c>
      <c r="E16" s="18">
        <f>利润表!E20/10000</f>
        <v>0</v>
      </c>
    </row>
    <row r="17" ht="29" customHeight="1" spans="1:5">
      <c r="A17" s="17" t="s">
        <v>247</v>
      </c>
      <c r="B17" s="18">
        <f>利润表!B19/10000</f>
        <v>0</v>
      </c>
      <c r="C17" s="18">
        <f>利润表!C19/10000</f>
        <v>0</v>
      </c>
      <c r="D17" s="18">
        <f>利润表!D19/10000</f>
        <v>0</v>
      </c>
      <c r="E17" s="18">
        <f>利润表!E19/10000</f>
        <v>0</v>
      </c>
    </row>
    <row r="18" ht="20" customHeight="1" spans="1:5">
      <c r="A18" s="17" t="s">
        <v>248</v>
      </c>
      <c r="B18" s="18">
        <f>利润表!B21/10000</f>
        <v>0</v>
      </c>
      <c r="C18" s="18">
        <f>利润表!C21/10000</f>
        <v>0</v>
      </c>
      <c r="D18" s="18">
        <f>利润表!D21/10000</f>
        <v>0</v>
      </c>
      <c r="E18" s="18">
        <f>利润表!E21/10000</f>
        <v>0</v>
      </c>
    </row>
    <row r="19" ht="20" customHeight="1" spans="1:5">
      <c r="A19" s="17" t="s">
        <v>249</v>
      </c>
      <c r="B19" s="18">
        <f>IFERROR(INDEX(利润表!$B$1:$B$500,MATCH("汇兑净收益",利润表!$A$1:$A$500,0))/10000,0)</f>
        <v>0</v>
      </c>
      <c r="C19" s="18">
        <f>IFERROR(INDEX(利润表!$C$1:$C$500,MATCH("汇兑净收益",利润表!$A$1:$A$500,0))/10000,0)</f>
        <v>0</v>
      </c>
      <c r="D19" s="18">
        <f>IFERROR(INDEX(利润表!$D$1:$D$500,MATCH("汇兑净收益",利润表!$A$1:$A$500,0))/10000,0)</f>
        <v>0</v>
      </c>
      <c r="E19" s="18">
        <f>IFERROR(INDEX(利润表!$E$1:$E$500,MATCH("汇兑净收益",利润表!$A$1:$A$500,0))/10000,0)</f>
        <v>0</v>
      </c>
    </row>
    <row r="20" ht="20" customHeight="1" spans="1:5">
      <c r="A20" s="19" t="s">
        <v>250</v>
      </c>
      <c r="B20" s="20">
        <f>利润表!B22/10000</f>
        <v>0</v>
      </c>
      <c r="C20" s="20">
        <f>利润表!C22/10000</f>
        <v>0</v>
      </c>
      <c r="D20" s="20">
        <f>利润表!D22/10000</f>
        <v>0</v>
      </c>
      <c r="E20" s="20">
        <f>利润表!E22/10000</f>
        <v>0</v>
      </c>
    </row>
    <row r="21" ht="20" customHeight="1" spans="1:5">
      <c r="A21" s="17" t="s">
        <v>107</v>
      </c>
      <c r="B21" s="18">
        <f>利润表!B23/10000</f>
        <v>0</v>
      </c>
      <c r="C21" s="18">
        <f>利润表!C23/10000</f>
        <v>0</v>
      </c>
      <c r="D21" s="18">
        <f>利润表!D23/10000</f>
        <v>0</v>
      </c>
      <c r="E21" s="18">
        <f>利润表!E23/10000</f>
        <v>0</v>
      </c>
    </row>
    <row r="22" ht="20" customHeight="1" spans="1:5">
      <c r="A22" s="17" t="s">
        <v>108</v>
      </c>
      <c r="B22" s="18">
        <f>利润表!B24/10000</f>
        <v>0</v>
      </c>
      <c r="C22" s="18">
        <f>利润表!C24/10000</f>
        <v>0</v>
      </c>
      <c r="D22" s="18">
        <f>利润表!D24/10000</f>
        <v>0</v>
      </c>
      <c r="E22" s="18">
        <f>利润表!E24/10000</f>
        <v>0</v>
      </c>
    </row>
    <row r="23" ht="20" customHeight="1" spans="1:5">
      <c r="A23" s="19" t="s">
        <v>251</v>
      </c>
      <c r="B23" s="20">
        <f>利润表!B25/10000</f>
        <v>0</v>
      </c>
      <c r="C23" s="20">
        <f>利润表!C25/10000</f>
        <v>0</v>
      </c>
      <c r="D23" s="20">
        <f>利润表!D25/10000</f>
        <v>0</v>
      </c>
      <c r="E23" s="20">
        <f>利润表!E25/10000</f>
        <v>0</v>
      </c>
    </row>
    <row r="24" ht="20" customHeight="1" spans="1:5">
      <c r="A24" s="19" t="s">
        <v>252</v>
      </c>
      <c r="B24" s="20">
        <f>利润表!B27/10000</f>
        <v>0</v>
      </c>
      <c r="C24" s="20">
        <f>利润表!C27/10000</f>
        <v>0</v>
      </c>
      <c r="D24" s="20">
        <f>利润表!D27/10000</f>
        <v>0</v>
      </c>
      <c r="E24" s="20">
        <f>利润表!E27/10000</f>
        <v>0</v>
      </c>
    </row>
    <row r="25" ht="20" customHeight="1" spans="1:5">
      <c r="A25" s="19" t="s">
        <v>253</v>
      </c>
      <c r="B25" s="20">
        <f>利润表!B30/10000</f>
        <v>0</v>
      </c>
      <c r="C25" s="20">
        <f>利润表!C30/10000</f>
        <v>0</v>
      </c>
      <c r="D25" s="20">
        <f>利润表!D30/10000</f>
        <v>0</v>
      </c>
      <c r="E25" s="20">
        <f>利润表!E30/10000</f>
        <v>0</v>
      </c>
    </row>
    <row r="26" ht="20" customHeight="1" spans="1:5">
      <c r="A26" s="19" t="s">
        <v>115</v>
      </c>
      <c r="B26" s="20">
        <f>利润表!B31/10000</f>
        <v>0</v>
      </c>
      <c r="C26" s="20">
        <f>利润表!C31/10000</f>
        <v>0</v>
      </c>
      <c r="D26" s="20">
        <f>利润表!D31/10000</f>
        <v>0</v>
      </c>
      <c r="E26" s="20">
        <f>利润表!E31/10000</f>
        <v>0</v>
      </c>
    </row>
  </sheetData>
  <autoFilter xmlns:etc="http://www.wps.cn/officeDocument/2017/etCustomData" ref="A3:E26" etc:filterBottomFollowUsedRange="0">
    <extLst/>
  </autoFilter>
  <mergeCells count="2">
    <mergeCell ref="A1:E1"/>
    <mergeCell ref="A2:E2"/>
  </mergeCells>
  <pageMargins left="0.3" right="0.3" top="0.45" bottom="0.45" header="0.2" footer="0.2"/>
  <pageSetup paperSize="9" orientation="landscape"/>
  <headerFooter>
    <oddFooter>&amp;C&amp;"宋体"&amp;9 第 &amp;P 页，共 &amp;N 页</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E78"/>
    <pageSetUpPr fitToPage="1"/>
  </sheetPr>
  <dimension ref="A1:E17"/>
  <sheetViews>
    <sheetView showGridLines="0" workbookViewId="0">
      <pane xSplit="1" ySplit="3" topLeftCell="B4" activePane="bottomRight" state="frozen"/>
      <selection/>
      <selection pane="topRight"/>
      <selection pane="bottomLeft"/>
      <selection pane="bottomRight" activeCell="A2" sqref="A2:E2"/>
    </sheetView>
  </sheetViews>
  <sheetFormatPr defaultColWidth="9" defaultRowHeight="16.8" outlineLevelCol="4"/>
  <cols>
    <col min="1" max="1" width="38" customWidth="1"/>
    <col min="2" max="5" width="17" customWidth="1"/>
  </cols>
  <sheetData>
    <row r="1" ht="27" customHeight="1" spans="1:5">
      <c r="A1" s="1" t="s">
        <v>254</v>
      </c>
    </row>
    <row r="2" ht="19" customHeight="1" spans="1:5">
      <c r="A2" s="16" t="s">
        <v>255</v>
      </c>
    </row>
    <row r="3" ht="23" customHeight="1" spans="1:5">
      <c r="A3" s="2" t="s">
        <v>0</v>
      </c>
      <c r="B3" s="2" t="str">
        <f>基本信息!B1</f>
        <v>最新一期</v>
      </c>
      <c r="C3" s="2" t="str">
        <f>基本信息!C1</f>
        <v>20xx年</v>
      </c>
      <c r="D3" s="2" t="str">
        <f>基本信息!D1</f>
        <v>20xx年</v>
      </c>
      <c r="E3" s="2" t="str">
        <f>基本信息!E1</f>
        <v>20xx年</v>
      </c>
    </row>
    <row r="4" ht="20" customHeight="1" spans="1:5">
      <c r="A4" s="5" t="s">
        <v>133</v>
      </c>
      <c r="B4" s="6"/>
      <c r="C4" s="6"/>
      <c r="D4" s="6"/>
      <c r="E4" s="7"/>
    </row>
    <row r="5" ht="20" customHeight="1" spans="1:5">
      <c r="A5" s="17" t="s">
        <v>137</v>
      </c>
      <c r="B5" s="18">
        <f>现金流量表!B6/10000</f>
        <v>0</v>
      </c>
      <c r="C5" s="18">
        <f>现金流量表!C6/10000</f>
        <v>0</v>
      </c>
      <c r="D5" s="18">
        <f>现金流量表!D6/10000</f>
        <v>0</v>
      </c>
      <c r="E5" s="18">
        <f>现金流量表!E6/10000</f>
        <v>0</v>
      </c>
    </row>
    <row r="6" ht="20" customHeight="1" spans="1:5">
      <c r="A6" s="17" t="s">
        <v>142</v>
      </c>
      <c r="B6" s="18">
        <f>现金流量表!B11/10000</f>
        <v>0</v>
      </c>
      <c r="C6" s="18">
        <f>现金流量表!C11/10000</f>
        <v>0</v>
      </c>
      <c r="D6" s="18">
        <f>现金流量表!D11/10000</f>
        <v>0</v>
      </c>
      <c r="E6" s="18">
        <f>现金流量表!E11/10000</f>
        <v>0</v>
      </c>
    </row>
    <row r="7" ht="20" customHeight="1" spans="1:5">
      <c r="A7" s="19" t="s">
        <v>143</v>
      </c>
      <c r="B7" s="20">
        <f>现金流量表!B12/10000</f>
        <v>0</v>
      </c>
      <c r="C7" s="20">
        <f>现金流量表!C12/10000</f>
        <v>0</v>
      </c>
      <c r="D7" s="20">
        <f>现金流量表!D12/10000</f>
        <v>0</v>
      </c>
      <c r="E7" s="20">
        <f>现金流量表!E12/10000</f>
        <v>0</v>
      </c>
    </row>
    <row r="8" ht="20" customHeight="1" spans="1:5">
      <c r="A8" s="5" t="s">
        <v>144</v>
      </c>
      <c r="B8" s="21"/>
      <c r="C8" s="21"/>
      <c r="D8" s="21"/>
      <c r="E8" s="22"/>
    </row>
    <row r="9" ht="20" customHeight="1" spans="1:5">
      <c r="A9" s="17" t="s">
        <v>150</v>
      </c>
      <c r="B9" s="18">
        <f>现金流量表!B19/10000</f>
        <v>0</v>
      </c>
      <c r="C9" s="18">
        <f>现金流量表!C19/10000</f>
        <v>0</v>
      </c>
      <c r="D9" s="18">
        <f>现金流量表!D19/10000</f>
        <v>0</v>
      </c>
      <c r="E9" s="18">
        <f>现金流量表!E19/10000</f>
        <v>0</v>
      </c>
    </row>
    <row r="10" ht="20" customHeight="1" spans="1:5">
      <c r="A10" s="17" t="s">
        <v>155</v>
      </c>
      <c r="B10" s="18">
        <f>现金流量表!B24/10000</f>
        <v>0</v>
      </c>
      <c r="C10" s="18">
        <f>现金流量表!C24/10000</f>
        <v>0</v>
      </c>
      <c r="D10" s="18">
        <f>现金流量表!D24/10000</f>
        <v>0</v>
      </c>
      <c r="E10" s="18">
        <f>现金流量表!E24/10000</f>
        <v>0</v>
      </c>
    </row>
    <row r="11" ht="20" customHeight="1" spans="1:5">
      <c r="A11" s="19" t="s">
        <v>156</v>
      </c>
      <c r="B11" s="20">
        <f>现金流量表!B25/10000</f>
        <v>0</v>
      </c>
      <c r="C11" s="20">
        <f>现金流量表!C25/10000</f>
        <v>0</v>
      </c>
      <c r="D11" s="20">
        <f>现金流量表!D25/10000</f>
        <v>0</v>
      </c>
      <c r="E11" s="20">
        <f>现金流量表!E25/10000</f>
        <v>0</v>
      </c>
    </row>
    <row r="12" ht="20" customHeight="1" spans="1:5">
      <c r="A12" s="5" t="s">
        <v>157</v>
      </c>
      <c r="B12" s="21"/>
      <c r="C12" s="21"/>
      <c r="D12" s="21"/>
      <c r="E12" s="22"/>
    </row>
    <row r="13" ht="20" customHeight="1" spans="1:5">
      <c r="A13" s="17" t="s">
        <v>161</v>
      </c>
      <c r="B13" s="18">
        <f>现金流量表!B30/10000</f>
        <v>0</v>
      </c>
      <c r="C13" s="18">
        <f>现金流量表!C30/10000</f>
        <v>0</v>
      </c>
      <c r="D13" s="18">
        <f>现金流量表!D30/10000</f>
        <v>0</v>
      </c>
      <c r="E13" s="18">
        <f>现金流量表!E30/10000</f>
        <v>0</v>
      </c>
    </row>
    <row r="14" ht="20" customHeight="1" spans="1:5">
      <c r="A14" s="17" t="s">
        <v>165</v>
      </c>
      <c r="B14" s="18">
        <f>现金流量表!B34/10000</f>
        <v>0</v>
      </c>
      <c r="C14" s="18">
        <f>现金流量表!C34/10000</f>
        <v>0</v>
      </c>
      <c r="D14" s="18">
        <f>现金流量表!D34/10000</f>
        <v>0</v>
      </c>
      <c r="E14" s="18">
        <f>现金流量表!E34/10000</f>
        <v>0</v>
      </c>
    </row>
    <row r="15" ht="20" customHeight="1" spans="1:5">
      <c r="A15" s="19" t="s">
        <v>166</v>
      </c>
      <c r="B15" s="20">
        <f>现金流量表!B35/10000</f>
        <v>0</v>
      </c>
      <c r="C15" s="20">
        <f>现金流量表!C35/10000</f>
        <v>0</v>
      </c>
      <c r="D15" s="20">
        <f>现金流量表!D35/10000</f>
        <v>0</v>
      </c>
      <c r="E15" s="20">
        <f>现金流量表!E35/10000</f>
        <v>0</v>
      </c>
    </row>
    <row r="16" ht="20" customHeight="1" spans="1:5">
      <c r="A16" s="19" t="s">
        <v>256</v>
      </c>
      <c r="B16" s="20">
        <f>现金流量表!B37/10000</f>
        <v>0</v>
      </c>
      <c r="C16" s="20">
        <f>现金流量表!C37/10000</f>
        <v>0</v>
      </c>
      <c r="D16" s="20">
        <f>现金流量表!D37/10000</f>
        <v>0</v>
      </c>
      <c r="E16" s="20">
        <f>现金流量表!E37/10000</f>
        <v>0</v>
      </c>
    </row>
    <row r="17" ht="20" customHeight="1" spans="1:5">
      <c r="A17" s="19" t="s">
        <v>257</v>
      </c>
      <c r="B17" s="20">
        <f>现金流量表!B39/10000</f>
        <v>0</v>
      </c>
      <c r="C17" s="20">
        <f>现金流量表!C39/10000</f>
        <v>0</v>
      </c>
      <c r="D17" s="20">
        <f>现金流量表!D39/10000</f>
        <v>0</v>
      </c>
      <c r="E17" s="20">
        <f>现金流量表!E39/10000</f>
        <v>0</v>
      </c>
    </row>
  </sheetData>
  <autoFilter xmlns:etc="http://www.wps.cn/officeDocument/2017/etCustomData" ref="A3:E17" etc:filterBottomFollowUsedRange="0">
    <extLst/>
  </autoFilter>
  <mergeCells count="5">
    <mergeCell ref="A1:E1"/>
    <mergeCell ref="A2:E2"/>
    <mergeCell ref="A4:E4"/>
    <mergeCell ref="A8:E8"/>
    <mergeCell ref="A12:E12"/>
  </mergeCells>
  <pageMargins left="0.35" right="0.35" top="0.5" bottom="0.5" header="0.2" footer="0.2"/>
  <pageSetup paperSize="9" orientation="landscape"/>
  <headerFooter>
    <oddFooter>&amp;C&amp;"宋体"&amp;9 第 &amp;P 页，共 &amp;N 页</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E78"/>
    <pageSetUpPr fitToPage="1"/>
  </sheetPr>
  <dimension ref="A1:E11"/>
  <sheetViews>
    <sheetView showGridLines="0" workbookViewId="0">
      <pane xSplit="1" ySplit="2" topLeftCell="B3" activePane="bottomRight" state="frozen"/>
      <selection/>
      <selection pane="topRight"/>
      <selection pane="bottomLeft"/>
      <selection pane="bottomRight" activeCell="A8" sqref="A8:E8"/>
    </sheetView>
  </sheetViews>
  <sheetFormatPr defaultColWidth="9" defaultRowHeight="16.8" outlineLevelCol="4"/>
  <cols>
    <col min="1" max="1" width="32" customWidth="1"/>
    <col min="2" max="5" width="20" customWidth="1"/>
  </cols>
  <sheetData>
    <row r="1" ht="27" customHeight="1" spans="1:5">
      <c r="A1" s="1" t="s">
        <v>258</v>
      </c>
    </row>
    <row r="2" ht="23" customHeight="1" spans="1:5">
      <c r="A2" s="2" t="s">
        <v>0</v>
      </c>
      <c r="B2" s="2" t="str">
        <f>基本信息!B1</f>
        <v>最新一期</v>
      </c>
      <c r="C2" s="2" t="str">
        <f>基本信息!C1</f>
        <v>20xx年</v>
      </c>
      <c r="D2" s="2" t="str">
        <f>基本信息!D1</f>
        <v>20xx年</v>
      </c>
      <c r="E2" s="2" t="str">
        <f>基本信息!E1</f>
        <v>20xx年</v>
      </c>
    </row>
    <row r="3" ht="22" customHeight="1" spans="1:5">
      <c r="A3" s="8" t="s">
        <v>194</v>
      </c>
      <c r="B3" s="15">
        <f>IFERROR(INDEX(资产负债表!$B$1:$B$491,MATCH("负 债 合 计",资产负债表!$A$1:$A$491,0))/INDEX(资产负债表!$B$1:$B$491,MATCH("资  产  总  计",资产负债表!$A$1:$A$491,0)),0)</f>
        <v>0</v>
      </c>
      <c r="C3" s="15">
        <f>IFERROR(INDEX(资产负债表!$C$1:$C$491,MATCH("负 债 合 计",资产负债表!$A$1:$A$491,0))/INDEX(资产负债表!$C$1:$C$491,MATCH("资  产  总  计",资产负债表!$A$1:$A$491,0)),0)</f>
        <v>0</v>
      </c>
      <c r="D3" s="15">
        <f>IFERROR(INDEX(资产负债表!$D$1:$D$491,MATCH("负 债 合 计",资产负债表!$A$1:$A$491,0))/INDEX(资产负债表!$D$1:$D$491,MATCH("资  产  总  计",资产负债表!$A$1:$A$491,0)),0)</f>
        <v>0</v>
      </c>
      <c r="E3" s="15">
        <f>IFERROR(INDEX(资产负债表!$E$1:$E$491,MATCH("负 债 合 计",资产负债表!$A$1:$A$491,0))/INDEX(资产负债表!$E$1:$E$491,MATCH("资  产  总  计",资产负债表!$A$1:$A$491,0)),0)</f>
        <v>0</v>
      </c>
    </row>
    <row r="4" ht="22" customHeight="1" spans="1:5">
      <c r="A4" s="10" t="s">
        <v>192</v>
      </c>
      <c r="B4" s="11">
        <f>IFERROR(INDEX(资产负债表!$B$1:$B$491,MATCH("流动资产合计",资产负债表!$A$1:$A$491,0))/INDEX(资产负债表!$B$1:$B$491,MATCH("流动负债合计",资产负债表!$A$1:$A$491,0)),0)</f>
        <v>0</v>
      </c>
      <c r="C4" s="11">
        <f>IFERROR(INDEX(资产负债表!$C$1:$C$491,MATCH("流动资产合计",资产负债表!$A$1:$A$491,0))/INDEX(资产负债表!$C$1:$C$491,MATCH("流动负债合计",资产负债表!$A$1:$A$491,0)),0)</f>
        <v>0</v>
      </c>
      <c r="D4" s="11">
        <f>IFERROR(INDEX(资产负债表!$D$1:$D$491,MATCH("流动资产合计",资产负债表!$A$1:$A$491,0))/INDEX(资产负债表!$D$1:$D$491,MATCH("流动负债合计",资产负债表!$A$1:$A$491,0)),0)</f>
        <v>0</v>
      </c>
      <c r="E4" s="11">
        <f>IFERROR(INDEX(资产负债表!$E$1:$E$491,MATCH("流动资产合计",资产负债表!$A$1:$A$491,0))/INDEX(资产负债表!$E$1:$E$491,MATCH("流动负债合计",资产负债表!$A$1:$A$491,0)),0)</f>
        <v>0</v>
      </c>
    </row>
    <row r="5" ht="22" customHeight="1" spans="1:5">
      <c r="A5" s="8" t="s">
        <v>193</v>
      </c>
      <c r="B5" s="9">
        <f>IFERROR((INDEX(资产负债表!$B$1:$B$491,MATCH("流动资产合计",资产负债表!$A$1:$A$491,0))-INDEX(资产负债表!$B$1:$B$491,MATCH("存货",资产负债表!$A$1:$A$491,0)))/INDEX(资产负债表!$B$1:$B$491,MATCH("流动负债合计",资产负债表!$A$1:$A$491,0)),0)</f>
        <v>0</v>
      </c>
      <c r="C5" s="9">
        <f>IFERROR((INDEX(资产负债表!$C$1:$C$491,MATCH("流动资产合计",资产负债表!$A$1:$A$491,0))-INDEX(资产负债表!$C$1:$C$491,MATCH("存货",资产负债表!$A$1:$A$491,0)))/INDEX(资产负债表!$C$1:$C$491,MATCH("流动负债合计",资产负债表!$A$1:$A$491,0)),0)</f>
        <v>0</v>
      </c>
      <c r="D5" s="9">
        <f>IFERROR((INDEX(资产负债表!$D$1:$D$491,MATCH("流动资产合计",资产负债表!$A$1:$A$491,0))-INDEX(资产负债表!$D$1:$D$491,MATCH("存货",资产负债表!$A$1:$A$491,0)))/INDEX(资产负债表!$D$1:$D$491,MATCH("流动负债合计",资产负债表!$A$1:$A$491,0)),0)</f>
        <v>0</v>
      </c>
      <c r="E5" s="9">
        <f>IFERROR((INDEX(资产负债表!$E$1:$E$491,MATCH("流动资产合计",资产负债表!$A$1:$A$491,0))-INDEX(资产负债表!$E$1:$E$491,MATCH("存货",资产负债表!$A$1:$A$491,0)))/INDEX(资产负债表!$E$1:$E$491,MATCH("流动负债合计",资产负债表!$A$1:$A$491,0)),0)</f>
        <v>0</v>
      </c>
    </row>
    <row r="6" ht="22" customHeight="1" spans="1:5">
      <c r="A6" s="10" t="s">
        <v>202</v>
      </c>
      <c r="B6" s="11">
        <f>IFERROR((INDEX(利润表!$B$1:$B$500,MATCH("四、利润总额（亏损总额以“－”号填列）",利润表!$A$1:$A$500,0))+INDEX(补充资料表!$B$1:$B$500,MATCH("费用化利息支出",补充资料表!$A$1:$A$500,0))+INDEX(补充资料表!$B$1:$B$500,MATCH("计提折旧额",补充资料表!$A$1:$A$500,0))+INDEX(补充资料表!$B$1:$B$500,MATCH("无形资产摊销额",补充资料表!$A$1:$A$500,0))+INDEX(补充资料表!$B$1:$B$500,MATCH("长期待摊费用摊销",补充资料表!$A$1:$A$500,0)))/(INDEX(补充资料表!$B$1:$B$500,MATCH("费用化利息支出",补充资料表!$A$1:$A$500,0))+INDEX(补充资料表!$B$1:$B$500,MATCH("资本化利息支出",补充资料表!$A$1:$A$500,0))),0)</f>
        <v>0</v>
      </c>
      <c r="C6" s="11">
        <f>IFERROR((INDEX(利润表!$C$1:$C$500,MATCH("四、利润总额（亏损总额以“－”号填列）",利润表!$A$1:$A$500,0))+INDEX(补充资料表!$C$1:$C$500,MATCH("费用化利息支出",补充资料表!$A$1:$A$500,0))+INDEX(补充资料表!$C$1:$C$500,MATCH("计提折旧额",补充资料表!$A$1:$A$500,0))+INDEX(补充资料表!$C$1:$C$500,MATCH("无形资产摊销额",补充资料表!$A$1:$A$500,0))+INDEX(补充资料表!$C$1:$C$500,MATCH("长期待摊费用摊销",补充资料表!$A$1:$A$500,0)))/(INDEX(补充资料表!$C$1:$C$500,MATCH("费用化利息支出",补充资料表!$A$1:$A$500,0))+INDEX(补充资料表!$C$1:$C$500,MATCH("资本化利息支出",补充资料表!$A$1:$A$500,0))),0)</f>
        <v>0</v>
      </c>
      <c r="D6" s="11">
        <f>IFERROR((INDEX(利润表!$D$1:$D$500,MATCH("四、利润总额（亏损总额以“－”号填列）",利润表!$A$1:$A$500,0))+INDEX(补充资料表!$D$1:$D$500,MATCH("费用化利息支出",补充资料表!$A$1:$A$500,0))+INDEX(补充资料表!$D$1:$D$500,MATCH("计提折旧额",补充资料表!$A$1:$A$500,0))+INDEX(补充资料表!$D$1:$D$500,MATCH("无形资产摊销额",补充资料表!$A$1:$A$500,0))+INDEX(补充资料表!$D$1:$D$500,MATCH("长期待摊费用摊销",补充资料表!$A$1:$A$500,0)))/(INDEX(补充资料表!$D$1:$D$500,MATCH("费用化利息支出",补充资料表!$A$1:$A$500,0))+INDEX(补充资料表!$D$1:$D$500,MATCH("资本化利息支出",补充资料表!$A$1:$A$500,0))),0)</f>
        <v>0</v>
      </c>
      <c r="E6" s="11">
        <f>IFERROR((INDEX(利润表!$E$1:$E$500,MATCH("四、利润总额（亏损总额以“－”号填列）",利润表!$A$1:$A$500,0))+INDEX(补充资料表!$E$1:$E$500,MATCH("费用化利息支出",补充资料表!$A$1:$A$500,0))+INDEX(补充资料表!$E$1:$E$500,MATCH("计提折旧额",补充资料表!$A$1:$A$500,0))+INDEX(补充资料表!$E$1:$E$500,MATCH("无形资产摊销额",补充资料表!$A$1:$A$500,0))+INDEX(补充资料表!$E$1:$E$500,MATCH("长期待摊费用摊销",补充资料表!$A$1:$A$500,0)))/(INDEX(补充资料表!$E$1:$E$500,MATCH("费用化利息支出",补充资料表!$A$1:$A$500,0))+INDEX(补充资料表!$E$1:$E$500,MATCH("资本化利息支出",补充资料表!$A$1:$A$500,0))),0)</f>
        <v>0</v>
      </c>
    </row>
    <row r="8" ht="20" customHeight="1" spans="1:5">
      <c r="A8" s="14" t="s">
        <v>259</v>
      </c>
    </row>
    <row r="9" ht="20" customHeight="1" spans="1:5">
      <c r="A9" s="14" t="s">
        <v>260</v>
      </c>
    </row>
    <row r="10" ht="20" customHeight="1" spans="1:5">
      <c r="A10" s="14" t="s">
        <v>261</v>
      </c>
    </row>
    <row r="11" ht="20" customHeight="1" spans="1:5">
      <c r="A11" s="14" t="s">
        <v>262</v>
      </c>
    </row>
  </sheetData>
  <autoFilter xmlns:etc="http://www.wps.cn/officeDocument/2017/etCustomData" ref="A2:E6" etc:filterBottomFollowUsedRange="0">
    <extLst/>
  </autoFilter>
  <mergeCells count="5">
    <mergeCell ref="A1:E1"/>
    <mergeCell ref="A8:E8"/>
    <mergeCell ref="A9:E9"/>
    <mergeCell ref="A10:E10"/>
    <mergeCell ref="A11:E11"/>
  </mergeCells>
  <pageMargins left="0.4" right="0.4" top="0.55" bottom="0.55" header="0.2" footer="0.2"/>
  <pageSetup paperSize="9" orientation="landscape"/>
  <headerFooter>
    <oddFooter>&amp;C&amp;"宋体"&amp;9 第 &amp;P 页，共 &amp;N 页</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E78"/>
    <pageSetUpPr fitToPage="1"/>
  </sheetPr>
  <dimension ref="A1:H19"/>
  <sheetViews>
    <sheetView showGridLines="0" workbookViewId="0">
      <pane xSplit="1" ySplit="3" topLeftCell="B4" activePane="bottomRight" state="frozen"/>
      <selection/>
      <selection pane="topRight"/>
      <selection pane="bottomLeft"/>
      <selection pane="bottomRight" activeCell="A18" sqref="A18:E18"/>
    </sheetView>
  </sheetViews>
  <sheetFormatPr defaultColWidth="9" defaultRowHeight="16.8" outlineLevelCol="7"/>
  <cols>
    <col min="1" max="1" width="34" customWidth="1"/>
    <col min="2" max="5" width="19" customWidth="1"/>
    <col min="7" max="8" width="13" hidden="1" customWidth="1"/>
  </cols>
  <sheetData>
    <row r="1" ht="27" customHeight="1" spans="1:8">
      <c r="A1" s="1" t="s">
        <v>263</v>
      </c>
    </row>
    <row r="2" ht="23" customHeight="1" spans="1:8">
      <c r="A2" s="2" t="s">
        <v>0</v>
      </c>
      <c r="B2" s="2" t="str">
        <f>基本信息!B1</f>
        <v>最新一期</v>
      </c>
      <c r="C2" s="2" t="str">
        <f>基本信息!C1</f>
        <v>20xx年</v>
      </c>
      <c r="D2" s="2" t="str">
        <f>基本信息!D1</f>
        <v>20xx年</v>
      </c>
      <c r="E2" s="2" t="str">
        <f>基本信息!E1</f>
        <v>20xx年</v>
      </c>
      <c r="G2" s="3" t="s">
        <v>264</v>
      </c>
      <c r="H2" s="4" t="str">
        <f>IF(ISNUMBER(基本信息!B1),MONTH(基本信息!B1),IF(OR(ISNUMBER(SEARCH("年末",基本信息!B1)),ISNUMBER(SEARCH("年度",基本信息!B1))),12,IFERROR(MAX(VALUE(RIGHT(LEFT(基本信息!B1,FIND("月",基本信息!B1)-1),1)),IFERROR(VALUE(RIGHT(LEFT(基本信息!B1,FIND("月",基本信息!B1)-1),2)),0)),"")))</f>
        <v/>
      </c>
    </row>
    <row r="3" ht="20" customHeight="1" spans="1:8">
      <c r="A3" s="5" t="s">
        <v>265</v>
      </c>
      <c r="B3" s="6"/>
      <c r="C3" s="6"/>
      <c r="D3" s="6"/>
      <c r="E3" s="7"/>
    </row>
    <row r="4" ht="21" customHeight="1" spans="1:8">
      <c r="A4" s="8" t="s">
        <v>203</v>
      </c>
      <c r="B4" s="9" t="str">
        <f>IF($H$2="","",IFERROR((INDEX(利润表!$B$1:$B$500,MATCH("其中：营业收入",利润表!$A$1:$A$500,0))*12/$H$2)/((INDEX(资产负债表!$B$1:$B$491,MATCH("应收账款",资产负债表!$A$1:$A$491,0))+INDEX(资产负债表!$C$1:$C$491,MATCH("应收账款",资产负债表!$A$1:$A$491,0)))/2),0))</f>
        <v/>
      </c>
      <c r="C4" s="9">
        <f>IFERROR(INDEX(利润表!$C$1:$C$500,MATCH("其中：营业收入",利润表!$A$1:$A$500,0))/((INDEX(资产负债表!$C$1:$C$491,MATCH("应收账款",资产负债表!$A$1:$A$491,0))+INDEX(资产负债表!$D$1:$D$491,MATCH("应收账款",资产负债表!$A$1:$A$491,0)))/2),0)</f>
        <v>0</v>
      </c>
      <c r="D4" s="9">
        <f>IFERROR(INDEX(利润表!$D$1:$D$500,MATCH("其中：营业收入",利润表!$A$1:$A$500,0))/((INDEX(资产负债表!$D$1:$D$491,MATCH("应收账款",资产负债表!$A$1:$A$491,0))+INDEX(资产负债表!$E$1:$E$491,MATCH("应收账款",资产负债表!$A$1:$A$491,0)))/2),0)</f>
        <v>0</v>
      </c>
      <c r="E4" s="9" t="str">
        <f>""</f>
        <v/>
      </c>
    </row>
    <row r="5" ht="21" customHeight="1" spans="1:8">
      <c r="A5" s="10" t="s">
        <v>204</v>
      </c>
      <c r="B5" s="11" t="str">
        <f>IF($H$2="","",IFERROR((INDEX(利润表!$B$1:$B$500,MATCH("其中：营业成本",利润表!$A$1:$A$500,0))*12/$H$2)/((INDEX(资产负债表!$B$1:$B$491,MATCH("存货",资产负债表!$A$1:$A$491,0))+INDEX(资产负债表!$C$1:$C$491,MATCH("存货",资产负债表!$A$1:$A$491,0)))/2),0))</f>
        <v/>
      </c>
      <c r="C5" s="11">
        <f>IFERROR(INDEX(利润表!$C$1:$C$500,MATCH("其中：营业成本",利润表!$A$1:$A$500,0))/((INDEX(资产负债表!$C$1:$C$491,MATCH("存货",资产负债表!$A$1:$A$491,0))+INDEX(资产负债表!$D$1:$D$491,MATCH("存货",资产负债表!$A$1:$A$491,0)))/2),0)</f>
        <v>0</v>
      </c>
      <c r="D5" s="11">
        <f>IFERROR(INDEX(利润表!$D$1:$D$500,MATCH("其中：营业成本",利润表!$A$1:$A$500,0))/((INDEX(资产负债表!$D$1:$D$491,MATCH("存货",资产负债表!$A$1:$A$491,0))+INDEX(资产负债表!$E$1:$E$491,MATCH("存货",资产负债表!$A$1:$A$491,0)))/2),0)</f>
        <v>0</v>
      </c>
      <c r="E5" s="11" t="str">
        <f>""</f>
        <v/>
      </c>
    </row>
    <row r="6" ht="21" customHeight="1" spans="1:8">
      <c r="A6" s="8" t="s">
        <v>266</v>
      </c>
      <c r="B6" s="9" t="str">
        <f>IF($H$2="","",IFERROR((INDEX(利润表!$B$1:$B$500,MATCH("其中：营业成本",利润表!$A$1:$A$500,0))*12/$H$2)/((INDEX(资产负债表!$B$1:$B$491,MATCH("应付账款",资产负债表!$A$1:$A$491,0))+INDEX(资产负债表!$C$1:$C$491,MATCH("应付账款",资产负债表!$A$1:$A$491,0)))/2),0))</f>
        <v/>
      </c>
      <c r="C6" s="9">
        <f>IFERROR(INDEX(利润表!$C$1:$C$500,MATCH("其中：营业成本",利润表!$A$1:$A$500,0))/((INDEX(资产负债表!$C$1:$C$491,MATCH("应付账款",资产负债表!$A$1:$A$491,0))+INDEX(资产负债表!$D$1:$D$491,MATCH("应付账款",资产负债表!$A$1:$A$491,0)))/2),0)</f>
        <v>0</v>
      </c>
      <c r="D6" s="9">
        <f>IFERROR(INDEX(利润表!$D$1:$D$500,MATCH("其中：营业成本",利润表!$A$1:$A$500,0))/((INDEX(资产负债表!$D$1:$D$491,MATCH("应付账款",资产负债表!$A$1:$A$491,0))+INDEX(资产负债表!$E$1:$E$491,MATCH("应付账款",资产负债表!$A$1:$A$491,0)))/2),0)</f>
        <v>0</v>
      </c>
      <c r="E6" s="9" t="str">
        <f>""</f>
        <v/>
      </c>
    </row>
    <row r="7" ht="21" customHeight="1" spans="1:8">
      <c r="A7" s="10" t="s">
        <v>267</v>
      </c>
      <c r="B7" s="11" t="str">
        <f>IF($H$2="","",IFERROR((INDEX(利润表!$B$1:$B$500,MATCH("其中：营业收入",利润表!$A$1:$A$500,0))*12/$H$2)/((INDEX(资产负债表!$B$1:$B$491,MATCH("流动资产合计",资产负债表!$A$1:$A$491,0))+INDEX(资产负债表!$C$1:$C$491,MATCH("流动资产合计",资产负债表!$A$1:$A$491,0)))/2),0))</f>
        <v/>
      </c>
      <c r="C7" s="11">
        <f>IFERROR(INDEX(利润表!$C$1:$C$500,MATCH("其中：营业收入",利润表!$A$1:$A$500,0))/((INDEX(资产负债表!$C$1:$C$491,MATCH("流动资产合计",资产负债表!$A$1:$A$491,0))+INDEX(资产负债表!$D$1:$D$491,MATCH("流动资产合计",资产负债表!$A$1:$A$491,0)))/2),0)</f>
        <v>0</v>
      </c>
      <c r="D7" s="11">
        <f>IFERROR(INDEX(利润表!$D$1:$D$500,MATCH("其中：营业收入",利润表!$A$1:$A$500,0))/((INDEX(资产负债表!$D$1:$D$491,MATCH("流动资产合计",资产负债表!$A$1:$A$491,0))+INDEX(资产负债表!$E$1:$E$491,MATCH("流动资产合计",资产负债表!$A$1:$A$491,0)))/2),0)</f>
        <v>0</v>
      </c>
      <c r="E7" s="11" t="str">
        <f>""</f>
        <v/>
      </c>
    </row>
    <row r="8" ht="21" customHeight="1" spans="1:8">
      <c r="A8" s="8" t="s">
        <v>268</v>
      </c>
      <c r="B8" s="9" t="str">
        <f>IF($H$2="","",IFERROR((INDEX(利润表!$B$1:$B$500,MATCH("其中：营业收入",利润表!$A$1:$A$500,0))*12/$H$2)/((INDEX(资产负债表!$B$1:$B$491,MATCH("资  产  总  计",资产负债表!$A$1:$A$491,0))+INDEX(资产负债表!$C$1:$C$491,MATCH("资  产  总  计",资产负债表!$A$1:$A$491,0)))/2),0))</f>
        <v/>
      </c>
      <c r="C8" s="9">
        <f>IFERROR(INDEX(利润表!$C$1:$C$500,MATCH("其中：营业收入",利润表!$A$1:$A$500,0))/((INDEX(资产负债表!$C$1:$C$491,MATCH("资  产  总  计",资产负债表!$A$1:$A$491,0))+INDEX(资产负债表!$D$1:$D$491,MATCH("资  产  总  计",资产负债表!$A$1:$A$491,0)))/2),0)</f>
        <v>0</v>
      </c>
      <c r="D8" s="9">
        <f>IFERROR(INDEX(利润表!$D$1:$D$500,MATCH("其中：营业收入",利润表!$A$1:$A$500,0))/((INDEX(资产负债表!$D$1:$D$491,MATCH("资  产  总  计",资产负债表!$A$1:$A$491,0))+INDEX(资产负债表!$E$1:$E$491,MATCH("资  产  总  计",资产负债表!$A$1:$A$491,0)))/2),0)</f>
        <v>0</v>
      </c>
      <c r="E8" s="9" t="str">
        <f>""</f>
        <v/>
      </c>
    </row>
    <row r="9" ht="20" customHeight="1" spans="1:8">
      <c r="A9" s="5" t="s">
        <v>269</v>
      </c>
      <c r="B9" s="6"/>
      <c r="C9" s="6"/>
      <c r="D9" s="6"/>
      <c r="E9" s="7"/>
    </row>
    <row r="10" ht="21" customHeight="1" spans="1:8">
      <c r="A10" s="8" t="s">
        <v>270</v>
      </c>
      <c r="B10" s="9" t="str">
        <f>IF(B4="","",IFERROR(360/B4,0))</f>
        <v/>
      </c>
      <c r="C10" s="9">
        <f>IF(C4="","",IFERROR(360/C4,0))</f>
        <v>0</v>
      </c>
      <c r="D10" s="9">
        <f>IF(D4="","",IFERROR(360/D4,0))</f>
        <v>0</v>
      </c>
      <c r="E10" s="9" t="str">
        <f>IF(E4="","",IFERROR(360/E4,0))</f>
        <v/>
      </c>
    </row>
    <row r="11" ht="21" customHeight="1" spans="1:8">
      <c r="A11" s="10" t="s">
        <v>271</v>
      </c>
      <c r="B11" s="11" t="str">
        <f>IF(B5="","",IFERROR(360/B5,0))</f>
        <v/>
      </c>
      <c r="C11" s="11">
        <f>IF(C5="","",IFERROR(360/C5,0))</f>
        <v>0</v>
      </c>
      <c r="D11" s="11">
        <f>IF(D5="","",IFERROR(360/D5,0))</f>
        <v>0</v>
      </c>
      <c r="E11" s="11" t="str">
        <f>IF(E5="","",IFERROR(360/E5,0))</f>
        <v/>
      </c>
    </row>
    <row r="12" ht="21" customHeight="1" spans="1:8">
      <c r="A12" s="8" t="s">
        <v>272</v>
      </c>
      <c r="B12" s="9" t="str">
        <f>IF(B6="","",IFERROR(360/B6,0))</f>
        <v/>
      </c>
      <c r="C12" s="9">
        <f>IF(C6="","",IFERROR(360/C6,0))</f>
        <v>0</v>
      </c>
      <c r="D12" s="9">
        <f>IF(D6="","",IFERROR(360/D6,0))</f>
        <v>0</v>
      </c>
      <c r="E12" s="9" t="str">
        <f>IF(E6="","",IFERROR(360/E6,0))</f>
        <v/>
      </c>
    </row>
    <row r="13" ht="21" customHeight="1" spans="1:8">
      <c r="A13" s="12" t="s">
        <v>273</v>
      </c>
      <c r="B13" s="13" t="str">
        <f>IF(OR(B10="",B11="",B12=""),"",B10+B11-B12)</f>
        <v/>
      </c>
      <c r="C13" s="13">
        <f>IF(OR(C10="",C11="",C12=""),"",C10+C11-C12)</f>
        <v>0</v>
      </c>
      <c r="D13" s="13">
        <f>IF(OR(D10="",D11="",D12=""),"",D10+D11-D12)</f>
        <v>0</v>
      </c>
      <c r="E13" s="13" t="str">
        <f>IF(OR(E10="",E11="",E12=""),"",E10+E11-E12)</f>
        <v/>
      </c>
    </row>
    <row r="15" ht="20" customHeight="1" spans="1:8">
      <c r="A15" s="14" t="s">
        <v>274</v>
      </c>
    </row>
    <row r="16" ht="20" customHeight="1" spans="1:8">
      <c r="A16" s="14" t="s">
        <v>275</v>
      </c>
    </row>
    <row r="17" ht="20" customHeight="1" spans="1:1">
      <c r="A17" s="14" t="s">
        <v>276</v>
      </c>
    </row>
    <row r="18" ht="20" customHeight="1" spans="1:1">
      <c r="A18" s="14" t="s">
        <v>277</v>
      </c>
    </row>
    <row r="19" ht="20" customHeight="1" spans="1:1">
      <c r="A19" s="14" t="s">
        <v>278</v>
      </c>
    </row>
  </sheetData>
  <autoFilter xmlns:etc="http://www.wps.cn/officeDocument/2017/etCustomData" ref="A2:E13" etc:filterBottomFollowUsedRange="0">
    <extLst/>
  </autoFilter>
  <mergeCells count="8">
    <mergeCell ref="A1:E1"/>
    <mergeCell ref="A3:E3"/>
    <mergeCell ref="A9:E9"/>
    <mergeCell ref="A15:E15"/>
    <mergeCell ref="A16:E16"/>
    <mergeCell ref="A17:E17"/>
    <mergeCell ref="A18:E18"/>
    <mergeCell ref="A19:E19"/>
  </mergeCells>
  <pageMargins left="0.35" right="0.35" top="0.5" bottom="0.5" header="0.2" footer="0.2"/>
  <pageSetup paperSize="9" orientation="landscape"/>
  <headerFooter>
    <oddFooter>&amp;C&amp;"宋体"&amp;9 第 &amp;P 页，共 &amp;N 页</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12</vt:i4>
      </vt:variant>
    </vt:vector>
  </HeadingPairs>
  <TitlesOfParts>
    <vt:vector size="12" baseType="lpstr">
      <vt:lpstr>基本信息</vt:lpstr>
      <vt:lpstr>资产负债表</vt:lpstr>
      <vt:lpstr>利润表</vt:lpstr>
      <vt:lpstr>现金流量表</vt:lpstr>
      <vt:lpstr>补充资料表</vt:lpstr>
      <vt:lpstr>主要财务指标</vt:lpstr>
      <vt:lpstr>资产结构</vt:lpstr>
      <vt:lpstr>负债结构</vt:lpstr>
      <vt:lpstr>盈利能力</vt:lpstr>
      <vt:lpstr>现金流量</vt:lpstr>
      <vt:lpstr>偿债能力</vt:lpstr>
      <vt:lpstr>运营能力</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Kendo UI</dc:creator>
  <cp:lastModifiedBy>李泽灏</cp:lastModifiedBy>
  <cp:revision>0</cp:revision>
  <dcterms:created xsi:type="dcterms:W3CDTF">2021-10-14T15:48:00Z</dcterms:created>
  <dcterms:modified xsi:type="dcterms:W3CDTF">2026-10-06T10:23:41Z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8CA611D76451021F9695A76AFB325A73_43</vt:lpwstr>
  </property>
  <property fmtid="{D5CDD505-2E9C-101B-9397-08002B2CF9AE}" pid="4" name="KSOProductBuildVer">
    <vt:lpwstr>2052-12.1.25895.25895</vt:lpwstr>
  </property>
  <property fmtid="{D5CDD505-2E9C-101B-9397-08002B2CF9AE}" pid="5" name="KSOReadingLayout">
    <vt:bool>false</vt:bool>
  </property>
</Properties>
</file>